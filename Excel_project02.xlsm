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iyus\OneDrive\Desktop\Excel Projects\Excel project 2\"/>
    </mc:Choice>
  </mc:AlternateContent>
  <xr:revisionPtr revIDLastSave="0" documentId="13_ncr:1_{9072CD59-EDCB-4334-8F81-5B11E9367E3E}" xr6:coauthVersionLast="47" xr6:coauthVersionMax="47" xr10:uidLastSave="{00000000-0000-0000-0000-000000000000}"/>
  <bookViews>
    <workbookView xWindow="-108" yWindow="-108" windowWidth="23256" windowHeight="12456" firstSheet="1" activeTab="4" xr2:uid="{701A831B-FB21-4E1A-B14E-CAEC8A3A966E}"/>
  </bookViews>
  <sheets>
    <sheet name="Break" sheetId="1" r:id="rId1"/>
    <sheet name="Effiency" sheetId="2" r:id="rId2"/>
    <sheet name="OverAll Performance" sheetId="3" r:id="rId3"/>
    <sheet name="Summary" sheetId="4" r:id="rId4"/>
    <sheet name="Dashboard" sheetId="5" r:id="rId5"/>
  </sheets>
  <definedNames>
    <definedName name="B_Data">Break!$A:$I</definedName>
    <definedName name="E_Data">Effiency!$A:$Q</definedName>
    <definedName name="O_Data">'OverAll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3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<sst xmlns="http://schemas.openxmlformats.org/spreadsheetml/2006/main" count="2454" uniqueCount="1017">
  <si>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</si>
  <si>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</si>
  <si>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</si>
  <si>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</si>
  <si>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</si>
  <si>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</si>
  <si>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</si>
  <si>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</si>
  <si>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</si>
  <si>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</si>
  <si>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</si>
  <si>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</si>
  <si>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</si>
  <si>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</si>
  <si>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</si>
  <si>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</si>
  <si>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</si>
  <si>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</si>
  <si>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</si>
  <si>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</si>
  <si>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</si>
  <si>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</si>
  <si>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</si>
  <si>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</si>
  <si>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</si>
  <si>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</si>
  <si>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</si>
  <si>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</si>
  <si>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</si>
  <si>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</si>
  <si>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</si>
  <si>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</si>
  <si>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</si>
  <si>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</si>
  <si>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</si>
  <si>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</si>
  <si>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</si>
  <si>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</si>
  <si>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</si>
  <si>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</si>
  <si>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</si>
  <si>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</si>
  <si>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</si>
  <si>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</si>
  <si>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</si>
  <si>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</si>
  <si>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</si>
  <si>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</si>
  <si>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</si>
  <si>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</si>
  <si>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</si>
  <si>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</si>
  <si>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</si>
  <si>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</si>
  <si>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</si>
  <si>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</si>
  <si>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</si>
  <si>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</si>
  <si>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</si>
  <si>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</si>
  <si>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</si>
  <si>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</si>
  <si>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</si>
  <si>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</si>
  <si>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</si>
  <si>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</si>
  <si>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</si>
  <si>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</si>
  <si>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</si>
  <si>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</si>
  <si>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</si>
  <si>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</si>
  <si>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</si>
  <si>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</si>
  <si>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</si>
  <si>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</si>
  <si>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</si>
  <si>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</si>
  <si>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</si>
  <si>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</si>
  <si>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</si>
  <si>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</si>
  <si>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</si>
  <si>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</si>
  <si>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</si>
  <si>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</si>
  <si>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</si>
  <si>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</si>
  <si>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</si>
  <si>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</si>
  <si>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</si>
  <si>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</si>
  <si>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</si>
  <si>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</si>
  <si>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</si>
  <si>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</si>
  <si>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</si>
  <si>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</si>
  <si>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</si>
  <si>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</si>
  <si>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</si>
  <si>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</si>
  <si>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</si>
  <si>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</si>
  <si>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</si>
  <si>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</si>
  <si>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</si>
  <si>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</si>
  <si>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</si>
  <si>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</si>
  <si>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</si>
  <si>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</si>
  <si>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</si>
  <si>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</si>
  <si>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</si>
  <si>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</si>
  <si>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</si>
  <si>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</si>
  <si>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</si>
  <si>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</si>
  <si>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</si>
  <si>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</si>
  <si>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</si>
  <si>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</si>
  <si>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</si>
  <si>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</si>
  <si>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</si>
  <si>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</si>
  <si>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</si>
  <si>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</si>
  <si>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</si>
  <si>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</si>
  <si>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</si>
  <si>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</si>
  <si>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</si>
  <si>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</si>
  <si>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</si>
  <si>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</si>
  <si>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</si>
  <si>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</si>
  <si>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</si>
  <si>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</si>
  <si>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</si>
  <si>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</si>
  <si>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</si>
  <si>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</si>
  <si>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</si>
  <si>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</si>
  <si>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</si>
  <si>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</si>
  <si>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</si>
  <si>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</si>
  <si>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</si>
  <si>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</si>
  <si>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</si>
  <si>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</si>
  <si>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</si>
  <si>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</si>
  <si>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</si>
  <si>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</si>
  <si>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</si>
  <si>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</si>
  <si>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</si>
  <si>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</si>
  <si>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</si>
  <si>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</si>
  <si>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</si>
  <si>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</si>
  <si>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</si>
  <si>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</si>
  <si>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</si>
  <si>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</si>
  <si>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</si>
  <si>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</si>
  <si>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</si>
  <si>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</si>
  <si>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</si>
  <si>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</si>
  <si>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</si>
  <si>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</si>
  <si>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</si>
  <si>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</si>
  <si>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</si>
  <si>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</si>
  <si>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</si>
  <si>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</si>
  <si>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</si>
  <si>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</si>
  <si>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</si>
  <si>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</si>
  <si>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</si>
  <si>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</si>
  <si>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</si>
  <si>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</si>
  <si>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</si>
  <si>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</si>
  <si>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</si>
  <si>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</si>
  <si>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</si>
  <si>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</si>
  <si>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</si>
  <si>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</si>
  <si>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</si>
  <si>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</si>
  <si>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</si>
  <si>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</si>
  <si>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</si>
  <si>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</si>
  <si>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</si>
  <si>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</si>
  <si>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</si>
  <si>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</si>
  <si>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</si>
  <si>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</si>
  <si>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</si>
  <si>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</si>
  <si>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</si>
  <si>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</si>
  <si>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</si>
  <si>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</si>
  <si>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</si>
  <si>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</si>
  <si>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</si>
  <si>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</si>
  <si>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</si>
  <si>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</si>
  <si>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</si>
  <si>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</si>
  <si>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</si>
  <si>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</si>
  <si>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</si>
  <si>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</si>
  <si>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</si>
  <si>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</si>
  <si>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</si>
  <si>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</si>
  <si>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</si>
  <si>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</si>
  <si>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</si>
  <si>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</si>
  <si>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</si>
  <si>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</si>
  <si>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</si>
  <si>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</si>
  <si>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</si>
  <si>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</si>
  <si>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</si>
  <si>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</si>
  <si>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</si>
  <si>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</si>
  <si>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</si>
  <si>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</si>
  <si>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</si>
  <si>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</si>
  <si>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</si>
  <si>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</si>
  <si>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</si>
  <si>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</si>
  <si>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</si>
  <si>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</si>
  <si>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</si>
  <si>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</si>
  <si>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</si>
  <si>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</si>
  <si>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</si>
  <si>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</si>
  <si>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</si>
  <si>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</si>
  <si>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</si>
  <si>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</si>
  <si>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</si>
  <si>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</si>
  <si>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</si>
  <si>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</si>
  <si>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</si>
  <si>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</si>
  <si>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</si>
  <si>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</si>
  <si>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</si>
  <si>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</si>
  <si>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</si>
  <si>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</si>
  <si>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</si>
  <si>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</si>
  <si>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</si>
  <si>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</si>
  <si>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</si>
  <si>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</si>
  <si>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</si>
  <si>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</si>
  <si>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</si>
  <si>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</si>
  <si>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</si>
  <si>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</si>
  <si>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</si>
  <si>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</si>
  <si>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</si>
  <si>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</si>
  <si>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</si>
  <si>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</si>
  <si>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</si>
  <si>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</si>
  <si>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</si>
  <si>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</si>
  <si>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</si>
  <si>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</si>
  <si>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</si>
  <si>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</si>
  <si>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</si>
  <si>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</si>
  <si>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</si>
  <si>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</si>
  <si>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</si>
  <si>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</si>
  <si>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</si>
  <si>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</si>
  <si>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</si>
  <si>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</si>
  <si>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</si>
  <si>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</si>
  <si>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</si>
  <si>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</si>
  <si>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</si>
  <si>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</si>
  <si>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</si>
  <si>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</si>
  <si>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</si>
  <si>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</si>
  <si>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</si>
  <si>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</si>
  <si>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</si>
  <si>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</si>
  <si>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</si>
  <si>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</si>
  <si>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</si>
  <si>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</si>
  <si>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</si>
  <si>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</si>
  <si>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</si>
  <si>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</si>
  <si>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</si>
  <si>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</si>
  <si>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</si>
  <si>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</si>
  <si>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</si>
  <si>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</si>
  <si>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</si>
  <si>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</si>
  <si>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</si>
  <si>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</si>
  <si>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</si>
  <si>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</si>
  <si>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</si>
  <si>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</si>
  <si>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</si>
  <si>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</si>
  <si>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</si>
  <si>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</si>
  <si>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</si>
  <si>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</si>
  <si>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</si>
  <si>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</si>
  <si>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</si>
  <si>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</si>
  <si>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</si>
  <si>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</si>
  <si>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</si>
  <si>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</si>
  <si>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</si>
  <si>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</si>
  <si>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</si>
  <si>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</si>
  <si>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</si>
  <si>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</si>
  <si>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</si>
  <si>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</si>
  <si>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</si>
  <si>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</si>
  <si>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</si>
  <si>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</si>
  <si>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</si>
  <si>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</si>
  <si>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</si>
  <si>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</si>
  <si>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</si>
  <si>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</si>
  <si>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</si>
  <si>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</si>
  <si>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</si>
  <si>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</si>
  <si>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</si>
  <si>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</si>
  <si>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</si>
  <si>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</si>
  <si>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</si>
  <si>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</si>
  <si>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</si>
  <si>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</si>
  <si>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</si>
  <si>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</si>
  <si>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</si>
  <si>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</si>
  <si>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</si>
  <si>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</si>
  <si>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</si>
  <si>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</si>
  <si>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</si>
  <si>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</si>
  <si>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</si>
  <si>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</si>
  <si>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</si>
  <si>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</si>
  <si>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</si>
  <si>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</si>
  <si>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</si>
  <si>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</si>
  <si>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</si>
  <si>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</si>
  <si>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</si>
  <si>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</si>
  <si>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</si>
  <si>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</si>
  <si>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</si>
  <si>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</si>
  <si>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</si>
  <si>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</si>
  <si>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</si>
  <si>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</si>
  <si>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</si>
  <si>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</si>
  <si>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</si>
  <si>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</si>
  <si>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</si>
  <si>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</si>
  <si>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</si>
  <si>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</si>
  <si>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</si>
  <si>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</si>
  <si>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</si>
  <si>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</si>
  <si>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</si>
  <si>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</si>
  <si>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</si>
  <si>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</si>
  <si>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</si>
  <si>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</si>
  <si>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</si>
  <si>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</si>
  <si>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</si>
  <si>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</si>
  <si>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</si>
  <si>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</si>
  <si>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</si>
  <si>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</si>
  <si>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</si>
  <si>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</si>
  <si>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</si>
  <si>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</si>
  <si>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</si>
  <si>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</si>
  <si>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</si>
  <si>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</si>
  <si>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</si>
  <si>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</si>
  <si>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</si>
  <si>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</si>
  <si>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</si>
  <si>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</si>
  <si>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</si>
  <si>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</si>
  <si>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</si>
  <si>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</si>
  <si>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</si>
  <si>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</si>
  <si>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</si>
  <si>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</si>
  <si>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</si>
  <si>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</si>
  <si>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</si>
  <si>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</si>
  <si>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</si>
  <si>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</si>
  <si>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</si>
  <si>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</si>
  <si>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</si>
  <si>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</si>
  <si>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</si>
  <si>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</si>
  <si>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</si>
  <si>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</si>
  <si>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</si>
  <si>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</si>
  <si>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</si>
  <si>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</si>
  <si>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</si>
  <si>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</si>
  <si>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</si>
  <si>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</si>
  <si>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</si>
  <si>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</si>
  <si>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</si>
  <si>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</si>
  <si>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</si>
  <si>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</si>
  <si>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</si>
  <si>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</si>
  <si>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</si>
  <si>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</si>
  <si>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</si>
  <si>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</si>
  <si>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</si>
  <si>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</si>
  <si>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</si>
  <si>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</si>
  <si>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</si>
  <si>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</si>
  <si>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</si>
  <si>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</si>
  <si>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</si>
  <si>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</si>
  <si>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</si>
  <si>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</si>
  <si>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</si>
  <si>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</si>
  <si>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</si>
  <si>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</si>
  <si>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</si>
  <si>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</si>
  <si>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</si>
  <si>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</si>
  <si>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</si>
  <si>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</si>
  <si>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</si>
  <si>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</si>
  <si>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</si>
  <si>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</si>
  <si>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</si>
  <si>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</si>
  <si>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</si>
  <si>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</si>
  <si>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</si>
  <si>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</si>
  <si>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</si>
  <si>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</si>
  <si>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</si>
  <si>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</si>
  <si>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</si>
  <si>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</si>
  <si>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</si>
  <si>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</si>
  <si>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</si>
  <si>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</si>
  <si>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</si>
  <si>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</si>
  <si>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</si>
  <si>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</si>
  <si>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</si>
  <si>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</si>
  <si>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</si>
  <si>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</si>
  <si>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</si>
  <si>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</si>
  <si>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</si>
  <si>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</si>
  <si>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</si>
  <si>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</si>
  <si>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</si>
  <si>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</si>
  <si>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</si>
  <si>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</si>
  <si>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</si>
  <si>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</si>
  <si>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</si>
  <si>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</si>
  <si>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</si>
  <si>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</si>
  <si>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</si>
  <si>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</si>
  <si>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</si>
  <si>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</si>
  <si>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</si>
  <si>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</si>
  <si>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</si>
  <si>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</si>
  <si>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</si>
  <si>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</si>
  <si>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</si>
  <si>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</si>
  <si>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</si>
  <si>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</si>
  <si>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</si>
  <si>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</si>
  <si>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</si>
  <si>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</si>
  <si>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</si>
  <si>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</si>
  <si>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</si>
  <si>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</si>
  <si>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</si>
  <si>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</si>
  <si>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</si>
  <si>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</si>
  <si>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</si>
  <si>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</si>
  <si>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</si>
  <si>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</si>
  <si>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</si>
  <si>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</si>
  <si>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</si>
  <si>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</si>
  <si>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</si>
  <si>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</si>
  <si>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</si>
  <si>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</si>
  <si>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</si>
  <si>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</si>
  <si>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</si>
  <si>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</si>
  <si>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</si>
  <si>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</si>
  <si>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</si>
  <si>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</si>
  <si>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</si>
  <si>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</si>
  <si>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</si>
  <si>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</si>
  <si>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</si>
  <si>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</si>
  <si>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</si>
  <si>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</si>
  <si>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</si>
  <si>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</si>
  <si>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</si>
  <si>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</si>
  <si>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</si>
  <si>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</si>
  <si>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</si>
  <si>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</si>
  <si>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</si>
  <si>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</si>
  <si>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</si>
  <si>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</si>
  <si>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</si>
  <si>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</si>
  <si>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</si>
  <si>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</si>
  <si>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</si>
  <si>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</si>
  <si>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</si>
  <si>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</si>
  <si>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</si>
  <si>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</si>
  <si>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</si>
  <si>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</si>
  <si>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</si>
  <si>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</si>
  <si>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</si>
  <si>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</si>
  <si>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</si>
  <si>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</si>
  <si>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</si>
  <si>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</si>
  <si>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</si>
  <si>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</si>
  <si>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</si>
  <si>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</si>
  <si>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</si>
  <si>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</si>
  <si>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</si>
  <si>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</si>
  <si>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</si>
  <si>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</si>
  <si>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</si>
  <si>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</si>
  <si>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</si>
  <si>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</si>
  <si>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</si>
  <si>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</si>
  <si>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</si>
  <si>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</si>
  <si>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</si>
  <si>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</si>
  <si>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</si>
  <si>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</si>
  <si>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</si>
  <si>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</si>
  <si>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</si>
  <si>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</si>
  <si>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</si>
  <si>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</si>
  <si>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</si>
  <si>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</si>
  <si>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</si>
  <si>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</si>
  <si>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</si>
  <si>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</si>
  <si>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</si>
  <si>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</si>
  <si>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</si>
  <si>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</si>
  <si>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</si>
  <si>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</si>
  <si>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</si>
  <si>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</si>
  <si>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</si>
  <si>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</si>
  <si>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</si>
  <si>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</si>
  <si>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</si>
  <si>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</si>
  <si>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</si>
  <si>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</si>
  <si>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</si>
  <si>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</si>
  <si>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</si>
  <si>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</si>
  <si>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</si>
  <si>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</si>
  <si>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</si>
  <si>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</si>
  <si>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</si>
  <si>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</si>
  <si>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</si>
  <si>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</si>
  <si>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</si>
  <si>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</si>
  <si>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</si>
  <si>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</si>
  <si>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</si>
  <si>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</si>
  <si>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</si>
  <si>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</si>
  <si>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</si>
  <si>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</si>
  <si>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</si>
  <si>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</si>
  <si>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</si>
  <si>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</si>
  <si>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</si>
  <si>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</si>
  <si>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</si>
  <si>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</si>
  <si>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</si>
  <si>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</si>
  <si>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</si>
  <si>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</si>
  <si>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</si>
  <si>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</si>
  <si>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</si>
  <si>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</si>
  <si>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</si>
  <si>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</si>
  <si>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</si>
  <si>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</si>
  <si>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</si>
  <si>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</si>
  <si>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</si>
  <si>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</si>
  <si>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</si>
  <si>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</si>
  <si>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</si>
  <si>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</si>
  <si>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</si>
  <si>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</si>
  <si>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</si>
  <si>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</si>
  <si>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</si>
  <si>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</si>
  <si>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</si>
  <si>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</si>
  <si>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</si>
  <si>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</si>
  <si>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</si>
  <si>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</si>
  <si>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</si>
  <si>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</si>
  <si>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</si>
  <si>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</si>
  <si>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</si>
  <si>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</si>
  <si>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</si>
  <si>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</si>
  <si>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</si>
  <si>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</si>
  <si>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</si>
  <si>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</si>
  <si>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</si>
  <si>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</si>
  <si>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</si>
  <si>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</si>
  <si>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</si>
  <si>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</si>
  <si>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</si>
  <si>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</si>
  <si>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</si>
  <si>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</si>
  <si>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</si>
  <si>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</si>
  <si>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</si>
  <si>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</si>
  <si>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</si>
  <si>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</si>
  <si>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</si>
  <si>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</si>
  <si>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</si>
  <si>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</si>
  <si>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</si>
  <si>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</si>
  <si>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</si>
  <si>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</si>
  <si>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</si>
  <si>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</si>
  <si>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</si>
  <si>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</si>
  <si>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</si>
  <si>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</si>
  <si>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</si>
  <si>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</si>
  <si>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</si>
  <si>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</si>
  <si>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</si>
  <si>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</si>
  <si>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</si>
  <si>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</si>
  <si>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</si>
  <si>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</si>
  <si>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</si>
  <si>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</si>
  <si>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</si>
  <si>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</si>
  <si>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</si>
  <si>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</si>
  <si>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</si>
  <si>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</si>
  <si>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</si>
  <si>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</si>
  <si>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</si>
  <si>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</si>
  <si>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</si>
  <si>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</si>
  <si>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</si>
  <si>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</si>
  <si>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</si>
  <si>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</si>
  <si>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</si>
  <si>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</si>
  <si>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</si>
  <si>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</si>
  <si>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</si>
  <si>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</si>
  <si>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</si>
  <si>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</si>
  <si>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</si>
  <si>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</si>
  <si>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</si>
  <si>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</si>
  <si>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</si>
  <si>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</si>
  <si>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</si>
  <si>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</si>
  <si>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</si>
  <si>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</si>
  <si>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</si>
  <si>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</si>
  <si>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</si>
  <si>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</si>
  <si>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</si>
  <si>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</si>
  <si>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</si>
  <si>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</si>
  <si>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</si>
  <si>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</si>
  <si>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</si>
  <si>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</si>
  <si>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</si>
  <si>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</si>
  <si>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</si>
  <si>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</si>
  <si>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</si>
  <si>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</si>
  <si>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</si>
  <si>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</si>
  <si>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</si>
  <si>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</si>
  <si>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</si>
  <si>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</si>
  <si>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</si>
  <si>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</si>
  <si>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</si>
  <si>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</si>
  <si>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</si>
  <si>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</si>
  <si>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</si>
  <si>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</si>
  <si>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</si>
  <si>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</si>
  <si>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</si>
  <si>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</si>
  <si>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</si>
  <si>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</si>
  <si>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</si>
  <si>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</si>
  <si>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</si>
  <si>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</si>
  <si>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</si>
  <si>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</si>
  <si>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</si>
  <si>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</si>
  <si>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</si>
  <si>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</si>
  <si>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</si>
  <si>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</si>
  <si>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</si>
  <si>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</si>
  <si>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</si>
  <si>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</si>
  <si>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</si>
  <si>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</si>
  <si>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</si>
  <si>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</si>
  <si>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</si>
  <si>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</si>
  <si>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</si>
  <si>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</si>
  <si>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</si>
  <si>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</si>
  <si>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</si>
  <si>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</si>
  <si>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</si>
  <si>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</si>
  <si>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</si>
  <si>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</si>
  <si>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</si>
  <si>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</si>
  <si>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</si>
  <si>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</si>
  <si>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</si>
  <si>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</si>
  <si>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</si>
  <si>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</si>
  <si>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</si>
  <si>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</si>
  <si>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</si>
  <si>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</si>
  <si>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</si>
  <si>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</si>
  <si>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</si>
  <si>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</si>
  <si>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</si>
  <si>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</si>
  <si>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</si>
  <si>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</si>
  <si>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</si>
  <si>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</si>
  <si>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</si>
  <si>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</si>
  <si>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</si>
  <si>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</si>
  <si>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</si>
  <si>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</si>
  <si>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</si>
  <si>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</si>
  <si>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</si>
  <si>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</si>
  <si>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</si>
  <si>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</si>
  <si>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</si>
  <si>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</si>
  <si>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</si>
  <si>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</si>
  <si>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</si>
  <si>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</si>
  <si>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</si>
  <si>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</si>
  <si>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</si>
  <si>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</si>
  <si>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</si>
  <si>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</si>
  <si>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</si>
  <si>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</si>
  <si>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</si>
  <si>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</si>
  <si>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</si>
  <si>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</si>
  <si>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</si>
  <si>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</si>
  <si>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</si>
  <si>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</si>
  <si>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</si>
  <si>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</si>
  <si>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</si>
  <si>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</si>
  <si>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</si>
  <si>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</si>
  <si>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</si>
  <si>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</si>
  <si>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</si>
  <si>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</si>
  <si>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</si>
  <si>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</si>
  <si>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</si>
  <si>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</si>
  <si>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</si>
  <si>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</si>
  <si>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Ashok Kumar</t>
  </si>
  <si>
    <t>Manoj Kumar</t>
  </si>
  <si>
    <t>Rajesh Kumar</t>
  </si>
  <si>
    <t>Santosh Kumar</t>
  </si>
  <si>
    <t>Sunil Kumar</t>
  </si>
  <si>
    <t>Employee Total Number of woking hours</t>
  </si>
  <si>
    <t>Report 1 :- Working Hour</t>
  </si>
  <si>
    <t>Tariq Akhlaq</t>
  </si>
  <si>
    <t>Tasneem Khan</t>
  </si>
  <si>
    <t>Sum of Active With Cust.</t>
  </si>
  <si>
    <t>Report 1 :- Active with Customer</t>
  </si>
  <si>
    <t>Sum of Attended Calls</t>
  </si>
  <si>
    <t xml:space="preserve">Report 1 :- Attend Calls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</si>
</sst>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4"/>
      <color theme="1"/>
      <name val="Times New Roman"/>
      <family val="1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7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6" borderId="0" xfId="0" applyFill="1" applyAlignment="1">
      <alignment horizontal="left"/>
    </xf>
    <xf numFmtId="165" fontId="0" fillId="6" borderId="0" xfId="0" applyNumberFormat="1" applyFill="1"/>
    <xf numFmtId="0" fontId="0" fillId="7" borderId="0" xfId="0" applyFill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0" fillId="7" borderId="0" xfId="0" applyFill="1"/>
    <xf numFmtId="0" fontId="0" fillId="0" borderId="0" xfId="0" applyFill="1"/>
    <xf numFmtId="0" fontId="0" fillId="6" borderId="0" xfId="0" applyNumberFormat="1" applyFill="1"/>
    <xf numFmtId="9" fontId="0" fillId="6" borderId="0" xfId="0" applyNumberFormat="1" applyFill="1"/>
  </cellXfs>
  <cellStyles count="2">
    <cellStyle name="Normal" xfId="0" builtinId="0"/>
    <cellStyle name="Percent" xfId="1" builtinId="5"/>
  </cellStyles>
  <dxfs count="7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[Excel_project02.xlsm]Dashboard!PivotTable1</c:name>
    <c:fmtId val="0"/>
  </c:pivotSource>
  <c:chart>
    <c:autoTitleDeleted val="1"/>
    <c:pivotFmts>
      <c:pivotFmt>
        <c:idx val="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7A-4DD0-8DA9-B46F62D3C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949951"/>
        <c:axId val="1579950431"/>
      </c:barChart>
      <c:catAx>
        <c:axId val="157994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6">
              <a:lumMod val="20000"/>
              <a:lumOff val="8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none" spc="0" baseline="0">
                <a:ln w="0"/>
                <a:solidFill>
                  <a:schemeClr val="tx1">
                    <a:lumMod val="95000"/>
                    <a:lumOff val="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579950431"/>
        <c:crosses val="autoZero"/>
        <c:auto val="1"/>
        <c:lblAlgn val="ctr"/>
        <c:lblOffset val="100"/>
        <c:noMultiLvlLbl val="0"/>
      </c:catAx>
      <c:valAx>
        <c:axId val="1579950431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579949951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[Excel_project02.xlsm]Dashboard!PivotTable2</c:name>
    <c:fmtId val="3"/>
  </c:pivotSource>
  <c:chart>
    <c:autoTitleDeleted val="1"/>
    <c:pivotFmts>
      <c:pivotFmt>
        <c:idx val="0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4-4FAE-A7CB-2229C27A6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[Excel_project02.xlsm]Dashboard!PivotTable3</c:name>
    <c:fmtId val="5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Dashboard!$G$5:$G$9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Tariq Akhlaq</c:v>
                </c:pt>
                <c:pt idx="4">
                  <c:v>Tasneem Khan</c:v>
                </c:pt>
              </c:strCache>
            </c:strRef>
          </c:cat>
          <c:val>
            <c:numRef>
              <c:f>Dashboard!$H$5:$H$9</c:f>
              <c:numCache>
                <c:formatCode>General</c:formatCode>
                <c:ptCount val="5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106</c:v>
                </c:pt>
                <c:pt idx="4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8-456F-97DE-1E15483ED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9848255"/>
        <c:axId val="1729848735"/>
      </c:lineChart>
      <c:catAx>
        <c:axId val="1729848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848735"/>
        <c:crosses val="autoZero"/>
        <c:auto val="1"/>
        <c:lblAlgn val="ctr"/>
        <c:lblOffset val="100"/>
        <c:noMultiLvlLbl val="0"/>
      </c:catAx>
      <c:valAx>
        <c:axId val="1729848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848255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2" max="30000" min="1" page="10" val="5"/>
</file>

<file path=xl/ctrlProps/ctrlProp2.xml><?xml version="1.0" encoding="utf-8"?>
<formControlPr xmlns="http://schemas.microsoft.com/office/spreadsheetml/2009/9/main" objectType="Spin" dx="26" fmlaLink="$C$2" max="30000" min="1" page="10" val="5"/>
</file>

<file path=xl/ctrlProps/ctrlProp3.xml><?xml version="1.0" encoding="utf-8"?>
<formControlPr xmlns="http://schemas.microsoft.com/office/spreadsheetml/2009/9/main" objectType="Spin" dx="26" fmlaLink="$I$2" max="30000" min="1" page="10" val="5"/>
</file>

<file path=xl/ctrlProps/ctrlProp4.xml><?xml version="1.0" encoding="utf-8"?>
<formControlPr xmlns="http://schemas.microsoft.com/office/spreadsheetml/2009/9/main" objectType="Spin" dx="26" fmlaLink="$I$2" max="30000" min="1" page="10" val="5"/>
</file>

<file path=xl/ctrlProps/ctrlProp5.xml><?xml version="1.0" encoding="utf-8"?>
<formControlPr xmlns="http://schemas.microsoft.com/office/spreadsheetml/2009/9/main" objectType="Spin" dx="26" fmlaLink="$K$2" max="30000" min="1" page="10" val="5"/>
</file>

<file path=xl/ctrlProps/ctrlProp6.xml><?xml version="1.0" encoding="utf-8"?>
<formControlPr xmlns="http://schemas.microsoft.com/office/spreadsheetml/2009/9/main" objectType="Spin" dx="26" fmlaLink="$K$2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7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1043940</xdr:colOff>
      <xdr:row>0</xdr:row>
      <xdr:rowOff>0</xdr:rowOff>
    </xdr:from>
    <xdr:to>
      <xdr:col>1</xdr:col>
      <xdr:colOff>1821180</xdr:colOff>
      <xdr:row>1</xdr:row>
      <xdr:rowOff>259920</xdr:rowOff>
    </xdr:to>
    <xdr:sp macro="" textlink="$C$2">
      <xdr:nvSpPr>
        <xdr:cNvPr id="8" name="Rectangle 7">
          <a:extLst>
            <a:ext uri="{FF2B5EF4-FFF2-40B4-BE49-F238E27FC236}">
              <a16:creationId xmlns:a16="http://schemas.microsoft.com/office/drawing/2014/main" id="{787C32D8-0B1F-F1AF-67C4-AB7BE408AD2D}"/>
            </a:ext>
          </a:extLst>
        </xdr:cNvPr>
        <xdr:cNvSpPr/>
      </xdr:nvSpPr>
      <xdr:spPr>
        <a:xfrm>
          <a:off x="1950720" y="0"/>
          <a:ext cx="777240" cy="442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1A955F0B-260F-47CD-B77C-FDAF75F395A2}" type="TxLink">
            <a:rPr lang="en-US" sz="24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24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3810</xdr:rowOff>
    </xdr:from>
    <xdr:to>
      <xdr:col>2</xdr:col>
      <xdr:colOff>7620</xdr:colOff>
      <xdr:row>25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C22D32-8D33-5AF0-B73F-3BC0FC0C0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</xdr:colOff>
      <xdr:row>0</xdr:row>
      <xdr:rowOff>22860</xdr:rowOff>
    </xdr:from>
    <xdr:to>
      <xdr:col>1</xdr:col>
      <xdr:colOff>449580</xdr:colOff>
      <xdr:row>1</xdr:row>
      <xdr:rowOff>228600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D3AF457-24C2-4761-919F-82A7FC22724E}"/>
            </a:ext>
          </a:extLst>
        </xdr:cNvPr>
        <xdr:cNvSpPr/>
      </xdr:nvSpPr>
      <xdr:spPr>
        <a:xfrm>
          <a:off x="7620" y="22860"/>
          <a:ext cx="1348740" cy="388620"/>
        </a:xfrm>
        <a:prstGeom prst="rightArrow">
          <a:avLst>
            <a:gd name="adj1" fmla="val 100000"/>
            <a:gd name="adj2" fmla="val 122012"/>
          </a:avLst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0" cap="none" spc="0">
              <a:ln w="1270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IN" sz="2000" b="0" cap="none" spc="0">
            <a:ln w="1270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487680</xdr:colOff>
      <xdr:row>0</xdr:row>
      <xdr:rowOff>7620</xdr:rowOff>
    </xdr:from>
    <xdr:to>
      <xdr:col>1</xdr:col>
      <xdr:colOff>929640</xdr:colOff>
      <xdr:row>2</xdr:row>
      <xdr:rowOff>0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B3D95143-1888-FE65-4628-3640BFD53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460" y="7620"/>
          <a:ext cx="441960" cy="441960"/>
        </a:xfrm>
        <a:prstGeom prst="rect">
          <a:avLst/>
        </a:prstGeom>
        <a:solidFill>
          <a:schemeClr val="accent6"/>
        </a:solidFill>
      </xdr:spPr>
    </xdr:pic>
    <xdr:clientData/>
  </xdr:twoCellAnchor>
  <xdr:twoCellAnchor editAs="oneCell">
    <xdr:from>
      <xdr:col>1</xdr:col>
      <xdr:colOff>495300</xdr:colOff>
      <xdr:row>0</xdr:row>
      <xdr:rowOff>0</xdr:rowOff>
    </xdr:from>
    <xdr:to>
      <xdr:col>1</xdr:col>
      <xdr:colOff>938100</xdr:colOff>
      <xdr:row>1</xdr:row>
      <xdr:rowOff>259920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706528DC-63A7-D526-BB08-097485957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080" y="0"/>
          <a:ext cx="442800" cy="442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1066800</xdr:colOff>
          <xdr:row>0</xdr:row>
          <xdr:rowOff>30480</xdr:rowOff>
        </xdr:from>
        <xdr:to>
          <xdr:col>1</xdr:col>
          <xdr:colOff>1363980</xdr:colOff>
          <xdr:row>1</xdr:row>
          <xdr:rowOff>228600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1836420</xdr:colOff>
      <xdr:row>0</xdr:row>
      <xdr:rowOff>38100</xdr:rowOff>
    </xdr:from>
    <xdr:to>
      <xdr:col>1</xdr:col>
      <xdr:colOff>3253740</xdr:colOff>
      <xdr:row>1</xdr:row>
      <xdr:rowOff>243840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F002251A-3411-B2E3-EA56-B60EFF056427}"/>
            </a:ext>
          </a:extLst>
        </xdr:cNvPr>
        <xdr:cNvSpPr/>
      </xdr:nvSpPr>
      <xdr:spPr>
        <a:xfrm flipH="1">
          <a:off x="2743200" y="38100"/>
          <a:ext cx="1417320" cy="388620"/>
        </a:xfrm>
        <a:prstGeom prst="rightArrow">
          <a:avLst>
            <a:gd name="adj1" fmla="val 100000"/>
            <a:gd name="adj2" fmla="val 122012"/>
          </a:avLst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000" b="0" cap="none" spc="0">
              <a:ln w="1270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Record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2842260</xdr:colOff>
          <xdr:row>10</xdr:row>
          <xdr:rowOff>15240</xdr:rowOff>
        </xdr:from>
        <xdr:to>
          <xdr:col>1</xdr:col>
          <xdr:colOff>3139440</xdr:colOff>
          <xdr:row>12</xdr:row>
          <xdr:rowOff>30480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1043940</xdr:colOff>
      <xdr:row>0</xdr:row>
      <xdr:rowOff>0</xdr:rowOff>
    </xdr:from>
    <xdr:to>
      <xdr:col>4</xdr:col>
      <xdr:colOff>1821180</xdr:colOff>
      <xdr:row>1</xdr:row>
      <xdr:rowOff>259920</xdr:rowOff>
    </xdr:to>
    <xdr:sp macro="" textlink="$I$2">
      <xdr:nvSpPr>
        <xdr:cNvPr id="10" name="Rectangle 9">
          <a:extLst>
            <a:ext uri="{FF2B5EF4-FFF2-40B4-BE49-F238E27FC236}">
              <a16:creationId xmlns:a16="http://schemas.microsoft.com/office/drawing/2014/main" id="{2D429E1D-1E50-454C-9C44-48241BDF75A8}"/>
            </a:ext>
          </a:extLst>
        </xdr:cNvPr>
        <xdr:cNvSpPr/>
      </xdr:nvSpPr>
      <xdr:spPr>
        <a:xfrm>
          <a:off x="1950720" y="0"/>
          <a:ext cx="777240" cy="442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C4F40044-E40F-4605-BBF4-0935FCA64CB8}" type="TxLink">
            <a:rPr lang="en-US" sz="24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24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7620</xdr:colOff>
      <xdr:row>0</xdr:row>
      <xdr:rowOff>22860</xdr:rowOff>
    </xdr:from>
    <xdr:to>
      <xdr:col>4</xdr:col>
      <xdr:colOff>449580</xdr:colOff>
      <xdr:row>1</xdr:row>
      <xdr:rowOff>228600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C4B5B2-0388-4489-9AAD-2C77707D5ADC}"/>
            </a:ext>
          </a:extLst>
        </xdr:cNvPr>
        <xdr:cNvSpPr/>
      </xdr:nvSpPr>
      <xdr:spPr>
        <a:xfrm>
          <a:off x="7620" y="22860"/>
          <a:ext cx="1348740" cy="388620"/>
        </a:xfrm>
        <a:prstGeom prst="rightArrow">
          <a:avLst>
            <a:gd name="adj1" fmla="val 100000"/>
            <a:gd name="adj2" fmla="val 122012"/>
          </a:avLst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0" cap="none" spc="0">
              <a:ln w="1270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IN" sz="2000" b="0" cap="none" spc="0">
            <a:ln w="1270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4</xdr:col>
      <xdr:colOff>487680</xdr:colOff>
      <xdr:row>0</xdr:row>
      <xdr:rowOff>7620</xdr:rowOff>
    </xdr:from>
    <xdr:ext cx="441960" cy="441960"/>
    <xdr:pic macro="[0]!hide_chart2">
      <xdr:nvPicPr>
        <xdr:cNvPr id="12" name="Picture 11">
          <a:extLst>
            <a:ext uri="{FF2B5EF4-FFF2-40B4-BE49-F238E27FC236}">
              <a16:creationId xmlns:a16="http://schemas.microsoft.com/office/drawing/2014/main" id="{1E9215AF-76A8-421E-A7AC-F13E980F1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460" y="7620"/>
          <a:ext cx="441960" cy="441960"/>
        </a:xfrm>
        <a:prstGeom prst="rect">
          <a:avLst/>
        </a:prstGeom>
        <a:solidFill>
          <a:schemeClr val="accent6"/>
        </a:solidFill>
      </xdr:spPr>
    </xdr:pic>
    <xdr:clientData/>
  </xdr:oneCellAnchor>
  <xdr:twoCellAnchor>
    <xdr:from>
      <xdr:col>4</xdr:col>
      <xdr:colOff>1836420</xdr:colOff>
      <xdr:row>0</xdr:row>
      <xdr:rowOff>38100</xdr:rowOff>
    </xdr:from>
    <xdr:to>
      <xdr:col>4</xdr:col>
      <xdr:colOff>3253740</xdr:colOff>
      <xdr:row>1</xdr:row>
      <xdr:rowOff>243840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8E7A3C3D-0F98-4914-A057-F9B5F39D454D}"/>
            </a:ext>
          </a:extLst>
        </xdr:cNvPr>
        <xdr:cNvSpPr/>
      </xdr:nvSpPr>
      <xdr:spPr>
        <a:xfrm flipH="1">
          <a:off x="2743200" y="38100"/>
          <a:ext cx="1417320" cy="388620"/>
        </a:xfrm>
        <a:prstGeom prst="rightArrow">
          <a:avLst>
            <a:gd name="adj1" fmla="val 100000"/>
            <a:gd name="adj2" fmla="val 122012"/>
          </a:avLst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000" b="0" cap="none" spc="0">
              <a:ln w="1270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Record</a:t>
          </a:r>
        </a:p>
      </xdr:txBody>
    </xdr:sp>
    <xdr:clientData/>
  </xdr:twoCellAnchor>
  <xdr:twoCellAnchor editAs="oneCell">
    <xdr:from>
      <xdr:col>4</xdr:col>
      <xdr:colOff>487680</xdr:colOff>
      <xdr:row>0</xdr:row>
      <xdr:rowOff>15240</xdr:rowOff>
    </xdr:from>
    <xdr:to>
      <xdr:col>4</xdr:col>
      <xdr:colOff>930480</xdr:colOff>
      <xdr:row>2</xdr:row>
      <xdr:rowOff>8460</xdr:rowOff>
    </xdr:to>
    <xdr:pic macro="[0]!show_chart2">
      <xdr:nvPicPr>
        <xdr:cNvPr id="15" name="Picture 14" hidden="1">
          <a:extLst>
            <a:ext uri="{FF2B5EF4-FFF2-40B4-BE49-F238E27FC236}">
              <a16:creationId xmlns:a16="http://schemas.microsoft.com/office/drawing/2014/main" id="{165782C6-B3CB-1ADC-167E-27E4CB001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5520" y="15240"/>
          <a:ext cx="442800" cy="4428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9</xdr:row>
      <xdr:rowOff>175260</xdr:rowOff>
    </xdr:from>
    <xdr:to>
      <xdr:col>5</xdr:col>
      <xdr:colOff>7620</xdr:colOff>
      <xdr:row>24</xdr:row>
      <xdr:rowOff>163830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436E688-F8BC-666C-9666-D139B7EF20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1112520</xdr:colOff>
          <xdr:row>0</xdr:row>
          <xdr:rowOff>53340</xdr:rowOff>
        </xdr:from>
        <xdr:to>
          <xdr:col>4</xdr:col>
          <xdr:colOff>1363980</xdr:colOff>
          <xdr:row>1</xdr:row>
          <xdr:rowOff>213360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3017520</xdr:colOff>
          <xdr:row>10</xdr:row>
          <xdr:rowOff>0</xdr:rowOff>
        </xdr:from>
        <xdr:to>
          <xdr:col>5</xdr:col>
          <xdr:colOff>0</xdr:colOff>
          <xdr:row>11</xdr:row>
          <xdr:rowOff>160020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1043940</xdr:colOff>
      <xdr:row>0</xdr:row>
      <xdr:rowOff>0</xdr:rowOff>
    </xdr:from>
    <xdr:to>
      <xdr:col>7</xdr:col>
      <xdr:colOff>1821180</xdr:colOff>
      <xdr:row>1</xdr:row>
      <xdr:rowOff>259920</xdr:rowOff>
    </xdr:to>
    <xdr:sp macro="" textlink="$K$2">
      <xdr:nvSpPr>
        <xdr:cNvPr id="17" name="Rectangle 16">
          <a:extLst>
            <a:ext uri="{FF2B5EF4-FFF2-40B4-BE49-F238E27FC236}">
              <a16:creationId xmlns:a16="http://schemas.microsoft.com/office/drawing/2014/main" id="{88770462-FD9F-4D9B-8F5A-DBEC1E521648}"/>
            </a:ext>
          </a:extLst>
        </xdr:cNvPr>
        <xdr:cNvSpPr/>
      </xdr:nvSpPr>
      <xdr:spPr>
        <a:xfrm>
          <a:off x="6615007" y="0"/>
          <a:ext cx="777240" cy="446187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FFD5A2B7-3321-4746-B90B-2C8B75481CB9}" type="TxLink">
            <a:rPr lang="en-US" sz="24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24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7620</xdr:colOff>
      <xdr:row>0</xdr:row>
      <xdr:rowOff>22860</xdr:rowOff>
    </xdr:from>
    <xdr:to>
      <xdr:col>7</xdr:col>
      <xdr:colOff>449580</xdr:colOff>
      <xdr:row>1</xdr:row>
      <xdr:rowOff>228600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67A68874-5B2A-424B-A551-5013985822A7}"/>
            </a:ext>
          </a:extLst>
        </xdr:cNvPr>
        <xdr:cNvSpPr/>
      </xdr:nvSpPr>
      <xdr:spPr>
        <a:xfrm>
          <a:off x="4308687" y="22860"/>
          <a:ext cx="1711960" cy="392007"/>
        </a:xfrm>
        <a:prstGeom prst="rightArrow">
          <a:avLst>
            <a:gd name="adj1" fmla="val 100000"/>
            <a:gd name="adj2" fmla="val 122012"/>
          </a:avLst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0" cap="none" spc="0">
              <a:ln w="1270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IN" sz="2000" b="0" cap="none" spc="0">
            <a:ln w="1270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487680</xdr:colOff>
      <xdr:row>0</xdr:row>
      <xdr:rowOff>7620</xdr:rowOff>
    </xdr:from>
    <xdr:ext cx="441960" cy="441960"/>
    <xdr:pic macro="[0]!hide_chart3">
      <xdr:nvPicPr>
        <xdr:cNvPr id="19" name="Picture 18">
          <a:extLst>
            <a:ext uri="{FF2B5EF4-FFF2-40B4-BE49-F238E27FC236}">
              <a16:creationId xmlns:a16="http://schemas.microsoft.com/office/drawing/2014/main" id="{9E7AE8A5-B1EE-4F63-8E48-C0BBB1191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8747" y="7620"/>
          <a:ext cx="441960" cy="441960"/>
        </a:xfrm>
        <a:prstGeom prst="rect">
          <a:avLst/>
        </a:prstGeom>
        <a:solidFill>
          <a:schemeClr val="accent6"/>
        </a:solidFill>
      </xdr:spPr>
    </xdr:pic>
    <xdr:clientData/>
  </xdr:oneCellAnchor>
  <xdr:twoCellAnchor>
    <xdr:from>
      <xdr:col>7</xdr:col>
      <xdr:colOff>1836420</xdr:colOff>
      <xdr:row>0</xdr:row>
      <xdr:rowOff>38100</xdr:rowOff>
    </xdr:from>
    <xdr:to>
      <xdr:col>7</xdr:col>
      <xdr:colOff>3253740</xdr:colOff>
      <xdr:row>1</xdr:row>
      <xdr:rowOff>243840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E35468AB-BE6E-42C1-8B91-DD61B8BC9CCD}"/>
            </a:ext>
          </a:extLst>
        </xdr:cNvPr>
        <xdr:cNvSpPr/>
      </xdr:nvSpPr>
      <xdr:spPr>
        <a:xfrm flipH="1">
          <a:off x="7407487" y="38100"/>
          <a:ext cx="1417320" cy="392007"/>
        </a:xfrm>
        <a:prstGeom prst="rightArrow">
          <a:avLst>
            <a:gd name="adj1" fmla="val 100000"/>
            <a:gd name="adj2" fmla="val 122012"/>
          </a:avLst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000" b="0" cap="none" spc="0">
              <a:ln w="1270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Record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1112520</xdr:colOff>
          <xdr:row>0</xdr:row>
          <xdr:rowOff>53340</xdr:rowOff>
        </xdr:from>
        <xdr:to>
          <xdr:col>7</xdr:col>
          <xdr:colOff>1363980</xdr:colOff>
          <xdr:row>1</xdr:row>
          <xdr:rowOff>213360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26381A28-5522-4FC2-B8DD-75712D882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7</xdr:col>
      <xdr:colOff>487679</xdr:colOff>
      <xdr:row>0</xdr:row>
      <xdr:rowOff>6774</xdr:rowOff>
    </xdr:from>
    <xdr:to>
      <xdr:col>7</xdr:col>
      <xdr:colOff>930479</xdr:colOff>
      <xdr:row>1</xdr:row>
      <xdr:rowOff>270927</xdr:rowOff>
    </xdr:to>
    <xdr:pic macro="[0]!show_chart3">
      <xdr:nvPicPr>
        <xdr:cNvPr id="27" name="Picture 26" hidden="1">
          <a:extLst>
            <a:ext uri="{FF2B5EF4-FFF2-40B4-BE49-F238E27FC236}">
              <a16:creationId xmlns:a16="http://schemas.microsoft.com/office/drawing/2014/main" id="{61844FF1-AEB0-2F82-30CF-07BF29532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1879" y="6774"/>
          <a:ext cx="442800" cy="45042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10</xdr:row>
      <xdr:rowOff>0</xdr:rowOff>
    </xdr:from>
    <xdr:to>
      <xdr:col>8</xdr:col>
      <xdr:colOff>16933</xdr:colOff>
      <xdr:row>24</xdr:row>
      <xdr:rowOff>135467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FC2B409-DDF5-A3BD-91A7-BDCDF5A49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3034453</xdr:colOff>
          <xdr:row>10</xdr:row>
          <xdr:rowOff>27940</xdr:rowOff>
        </xdr:from>
        <xdr:to>
          <xdr:col>8</xdr:col>
          <xdr:colOff>9313</xdr:colOff>
          <xdr:row>12</xdr:row>
          <xdr:rowOff>1694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6381A28-5522-4FC2-B8DD-75712D882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yush Vinde" refreshedDate="45724.960017708334" createdVersion="8" refreshedVersion="8" minRefreshableVersion="3" recordCount="149" xr:uid="{8A27F807-2362-438E-88AF-D0A7235DA910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873F6-AEA7-4241-9870-5DDC2AF51B5B}" name="PivotTable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7">
  <location ref="G4:H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dataField="1" showAll="0"/>
    <pivotField numFmtId="9" showAll="0"/>
  </pivotFields>
  <rowFields count="1">
    <field x="1"/>
  </rowFields>
  <rowItems count="5">
    <i>
      <x v="15"/>
    </i>
    <i>
      <x v="109"/>
    </i>
    <i>
      <x v="126"/>
    </i>
    <i>
      <x v="139"/>
    </i>
    <i>
      <x v="140"/>
    </i>
  </rowItems>
  <colItems count="1">
    <i/>
  </colItems>
  <dataFields count="1">
    <dataField name="Sum of Attended Calls" fld="5" baseField="0" baseItem="0"/>
  </dataFields>
  <formats count="3">
    <format dxfId="1">
      <pivotArea outline="0" collapsedLevelsAreSubtotals="1" fieldPosition="0"/>
    </format>
    <format dxfId="2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0">
      <pivotArea dataOnly="0" labelOnly="1" fieldPosition="0">
        <references count="1">
          <reference field="1" count="2">
            <x v="139"/>
            <x v="140"/>
          </reference>
        </references>
      </pivotArea>
    </format>
  </format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" showRowHeaders="1" showColHeaders="1" showRowStripes="0" showColStripes="0" showLastColumn="1"/>
  <filters count="1">
    <filter fld="1" type="count" evalOrder="-1" id="8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CA146-4647-4132-8E12-A74B4AF83877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5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formats count="2">
    <format dxfId="3">
      <pivotArea outline="0" collapsedLevelsAreSubtotals="1" fieldPosition="0"/>
    </format>
    <format dxfId="4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" showRowHeaders="1" showColHeaders="1" showRowStripes="0" showColStripes="0" showLastColumn="1"/>
  <filters count="1">
    <filter fld="1" type="count" evalOrder="-1" id="7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81B34D-7730-4FE6-988D-C132882130E7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loyee Total Number of woking hours" fld="2" baseField="1" baseItem="15" numFmtId="165"/>
  </dataFields>
  <formats count="2">
    <format dxfId="6">
      <pivotArea outline="0" collapsedLevelsAreSubtotals="1" fieldPosition="0"/>
    </format>
    <format dxfId="5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" showRowHeaders="1" showColHeaders="1" showRowStripes="0" showColStripes="0" showLastColumn="1"/>
  <filters count="1">
    <filter fld="1" type="count" evalOrder="-1" id="8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CFDD7-E0F7-4F61-8F28-B3AF71E6B4A5}">
  <sheetPr codeName="Sheet1"/>
  <dimension ref="A1:I150"/>
  <sheetViews>
    <sheetView workbookViewId="0">
      <selection sqref="A1:I1048576"/>
    </sheetView>
  </sheetViews>
  <sheetFormatPr defaultRowHeight="14.4" x14ac:dyDescent="0.3"/>
  <cols>
    <col min="1" max="1" width="31.44140625" bestFit="1" customWidth="1"/>
    <col min="2" max="2" width="14.88671875" customWidth="1"/>
    <col min="3" max="3" width="15" customWidth="1"/>
    <col min="4" max="4" width="15.6640625" customWidth="1"/>
    <col min="5" max="5" width="15.88671875" customWidth="1"/>
    <col min="6" max="6" width="21.88671875" customWidth="1"/>
    <col min="7" max="7" width="23.21875" customWidth="1"/>
    <col min="8" max="8" width="20.6640625" customWidth="1"/>
    <col min="9" max="9" width="25.109375" customWidth="1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s="1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13</v>
      </c>
    </row>
    <row r="3" spans="1:9" x14ac:dyDescent="0.3">
      <c r="A3" s="1" t="s">
        <v>14</v>
      </c>
      <c r="B3" s="2" t="s">
        <v>15</v>
      </c>
      <c r="C3" s="2" t="s">
        <v>16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17</v>
      </c>
    </row>
    <row r="4" spans="1:9" x14ac:dyDescent="0.3">
      <c r="A4" s="1" t="s">
        <v>18</v>
      </c>
      <c r="B4" s="2" t="s">
        <v>19</v>
      </c>
      <c r="C4" s="2" t="s">
        <v>20</v>
      </c>
      <c r="D4" s="2" t="s">
        <v>12</v>
      </c>
      <c r="E4" s="2" t="s">
        <v>12</v>
      </c>
      <c r="F4" s="2" t="s">
        <v>12</v>
      </c>
      <c r="G4" s="2" t="s">
        <v>21</v>
      </c>
      <c r="H4" s="2" t="s">
        <v>12</v>
      </c>
      <c r="I4" s="2" t="s">
        <v>22</v>
      </c>
    </row>
    <row r="5" spans="1:9" x14ac:dyDescent="0.3">
      <c r="A5" s="1" t="s">
        <v>23</v>
      </c>
      <c r="B5" s="2" t="s">
        <v>24</v>
      </c>
      <c r="C5" s="2" t="s">
        <v>25</v>
      </c>
      <c r="D5" s="2" t="s">
        <v>26</v>
      </c>
      <c r="E5" s="2" t="s">
        <v>12</v>
      </c>
      <c r="F5" s="2" t="s">
        <v>12</v>
      </c>
      <c r="G5" s="2" t="s">
        <v>12</v>
      </c>
      <c r="H5" s="2" t="s">
        <v>12</v>
      </c>
      <c r="I5" s="2" t="s">
        <v>27</v>
      </c>
    </row>
    <row r="6" spans="1:9" x14ac:dyDescent="0.3">
      <c r="A6" s="1" t="s">
        <v>28</v>
      </c>
      <c r="B6" s="2" t="s">
        <v>12</v>
      </c>
      <c r="C6" s="2" t="s">
        <v>29</v>
      </c>
      <c r="D6" s="2" t="s">
        <v>12</v>
      </c>
      <c r="E6" s="2" t="s">
        <v>12</v>
      </c>
      <c r="F6" s="2" t="s">
        <v>30</v>
      </c>
      <c r="G6" s="2" t="s">
        <v>12</v>
      </c>
      <c r="H6" s="2" t="s">
        <v>31</v>
      </c>
      <c r="I6" s="2" t="s">
        <v>32</v>
      </c>
    </row>
    <row r="7" spans="1:9" x14ac:dyDescent="0.3">
      <c r="A7" s="1" t="s">
        <v>33</v>
      </c>
      <c r="B7" s="2" t="s">
        <v>12</v>
      </c>
      <c r="C7" s="2" t="s">
        <v>34</v>
      </c>
      <c r="D7" s="2" t="s">
        <v>12</v>
      </c>
      <c r="E7" s="2" t="s">
        <v>12</v>
      </c>
      <c r="F7" s="2" t="s">
        <v>12</v>
      </c>
      <c r="G7" s="2" t="s">
        <v>35</v>
      </c>
      <c r="H7" s="2" t="s">
        <v>12</v>
      </c>
      <c r="I7" s="2" t="s">
        <v>36</v>
      </c>
    </row>
    <row r="8" spans="1:9" x14ac:dyDescent="0.3">
      <c r="A8" s="1" t="s">
        <v>37</v>
      </c>
      <c r="B8" s="2" t="s">
        <v>38</v>
      </c>
      <c r="C8" s="2" t="s">
        <v>39</v>
      </c>
      <c r="D8" s="2" t="s">
        <v>12</v>
      </c>
      <c r="E8" s="2" t="s">
        <v>12</v>
      </c>
      <c r="F8" s="2" t="s">
        <v>12</v>
      </c>
      <c r="G8" s="2" t="s">
        <v>12</v>
      </c>
      <c r="H8" s="2" t="s">
        <v>40</v>
      </c>
      <c r="I8" s="2" t="s">
        <v>41</v>
      </c>
    </row>
    <row r="9" spans="1:9" x14ac:dyDescent="0.3">
      <c r="A9" s="1" t="s">
        <v>42</v>
      </c>
      <c r="B9" s="2" t="s">
        <v>43</v>
      </c>
      <c r="C9" s="2" t="s">
        <v>44</v>
      </c>
      <c r="D9" s="2" t="s">
        <v>12</v>
      </c>
      <c r="E9" s="2" t="s">
        <v>12</v>
      </c>
      <c r="F9" s="2" t="s">
        <v>12</v>
      </c>
      <c r="G9" s="2" t="s">
        <v>12</v>
      </c>
      <c r="H9" s="2" t="s">
        <v>12</v>
      </c>
      <c r="I9" s="2" t="s">
        <v>45</v>
      </c>
    </row>
    <row r="10" spans="1:9" x14ac:dyDescent="0.3">
      <c r="A10" s="1" t="s">
        <v>46</v>
      </c>
      <c r="B10" s="2" t="s">
        <v>47</v>
      </c>
      <c r="C10" s="2" t="s">
        <v>48</v>
      </c>
      <c r="D10" s="2" t="s">
        <v>12</v>
      </c>
      <c r="E10" s="2" t="s">
        <v>12</v>
      </c>
      <c r="F10" s="2" t="s">
        <v>12</v>
      </c>
      <c r="G10" s="2" t="s">
        <v>12</v>
      </c>
      <c r="H10" s="2" t="s">
        <v>12</v>
      </c>
      <c r="I10" s="2" t="s">
        <v>49</v>
      </c>
    </row>
    <row r="11" spans="1:9" x14ac:dyDescent="0.3">
      <c r="A11" s="1" t="s">
        <v>50</v>
      </c>
      <c r="B11" s="2" t="s">
        <v>51</v>
      </c>
      <c r="C11" s="2" t="s">
        <v>52</v>
      </c>
      <c r="D11" s="2" t="s">
        <v>12</v>
      </c>
      <c r="E11" s="2" t="s">
        <v>12</v>
      </c>
      <c r="F11" s="2" t="s">
        <v>12</v>
      </c>
      <c r="G11" s="2" t="s">
        <v>12</v>
      </c>
      <c r="H11" s="2" t="s">
        <v>12</v>
      </c>
      <c r="I11" s="2" t="s">
        <v>53</v>
      </c>
    </row>
    <row r="12" spans="1:9" x14ac:dyDescent="0.3">
      <c r="A12" s="1" t="s">
        <v>54</v>
      </c>
      <c r="B12" s="2" t="s">
        <v>55</v>
      </c>
      <c r="C12" s="2" t="s">
        <v>56</v>
      </c>
      <c r="D12" s="2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57</v>
      </c>
    </row>
    <row r="13" spans="1:9" x14ac:dyDescent="0.3">
      <c r="A13" s="1" t="s">
        <v>58</v>
      </c>
      <c r="B13" s="2" t="s">
        <v>59</v>
      </c>
      <c r="C13" s="2" t="s">
        <v>52</v>
      </c>
      <c r="D13" s="2" t="s">
        <v>12</v>
      </c>
      <c r="E13" s="2" t="s">
        <v>60</v>
      </c>
      <c r="F13" s="2" t="s">
        <v>11</v>
      </c>
      <c r="G13" s="2" t="s">
        <v>61</v>
      </c>
      <c r="H13" s="2" t="s">
        <v>12</v>
      </c>
      <c r="I13" s="2" t="s">
        <v>62</v>
      </c>
    </row>
    <row r="14" spans="1:9" x14ac:dyDescent="0.3">
      <c r="A14" s="1" t="s">
        <v>63</v>
      </c>
      <c r="B14" s="2" t="s">
        <v>64</v>
      </c>
      <c r="C14" s="2" t="s">
        <v>65</v>
      </c>
      <c r="D14" s="2" t="s">
        <v>12</v>
      </c>
      <c r="E14" s="2" t="s">
        <v>66</v>
      </c>
      <c r="F14" s="2" t="s">
        <v>12</v>
      </c>
      <c r="G14" s="2" t="s">
        <v>12</v>
      </c>
      <c r="H14" s="2" t="s">
        <v>12</v>
      </c>
      <c r="I14" s="2" t="s">
        <v>67</v>
      </c>
    </row>
    <row r="15" spans="1:9" x14ac:dyDescent="0.3">
      <c r="A15" s="1" t="s">
        <v>68</v>
      </c>
      <c r="B15" s="2" t="s">
        <v>69</v>
      </c>
      <c r="C15" s="2" t="s">
        <v>70</v>
      </c>
      <c r="D15" s="2" t="s">
        <v>12</v>
      </c>
      <c r="E15" s="2" t="s">
        <v>12</v>
      </c>
      <c r="F15" s="2" t="s">
        <v>12</v>
      </c>
      <c r="G15" s="2" t="s">
        <v>12</v>
      </c>
      <c r="H15" s="2" t="s">
        <v>12</v>
      </c>
      <c r="I15" s="2" t="s">
        <v>71</v>
      </c>
    </row>
    <row r="16" spans="1:9" x14ac:dyDescent="0.3">
      <c r="A16" s="1" t="s">
        <v>72</v>
      </c>
      <c r="B16" s="2" t="s">
        <v>73</v>
      </c>
      <c r="C16" s="2" t="s">
        <v>20</v>
      </c>
      <c r="D16" s="2" t="s">
        <v>12</v>
      </c>
      <c r="E16" s="2" t="s">
        <v>12</v>
      </c>
      <c r="F16" s="2" t="s">
        <v>12</v>
      </c>
      <c r="G16" s="2" t="s">
        <v>74</v>
      </c>
      <c r="H16" s="2" t="s">
        <v>12</v>
      </c>
      <c r="I16" s="2" t="s">
        <v>75</v>
      </c>
    </row>
    <row r="17" spans="1:9" x14ac:dyDescent="0.3">
      <c r="A17" s="1" t="s">
        <v>76</v>
      </c>
      <c r="B17" s="2" t="s">
        <v>77</v>
      </c>
      <c r="C17" s="2" t="s">
        <v>78</v>
      </c>
      <c r="D17" s="2" t="s">
        <v>79</v>
      </c>
      <c r="E17" s="2" t="s">
        <v>12</v>
      </c>
      <c r="F17" s="2" t="s">
        <v>12</v>
      </c>
      <c r="G17" s="2" t="s">
        <v>12</v>
      </c>
      <c r="H17" s="2" t="s">
        <v>12</v>
      </c>
      <c r="I17" s="2" t="s">
        <v>80</v>
      </c>
    </row>
    <row r="18" spans="1:9" x14ac:dyDescent="0.3">
      <c r="A18" s="1" t="s">
        <v>81</v>
      </c>
      <c r="B18" s="2" t="s">
        <v>82</v>
      </c>
      <c r="C18" s="2" t="s">
        <v>83</v>
      </c>
      <c r="D18" s="2" t="s">
        <v>12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84</v>
      </c>
    </row>
    <row r="19" spans="1:9" x14ac:dyDescent="0.3">
      <c r="A19" s="1" t="s">
        <v>85</v>
      </c>
      <c r="B19" s="2" t="s">
        <v>86</v>
      </c>
      <c r="C19" s="2" t="s">
        <v>39</v>
      </c>
      <c r="D19" s="2" t="s">
        <v>12</v>
      </c>
      <c r="E19" s="2" t="s">
        <v>12</v>
      </c>
      <c r="F19" s="2" t="s">
        <v>12</v>
      </c>
      <c r="G19" s="2" t="s">
        <v>12</v>
      </c>
      <c r="H19" s="2" t="s">
        <v>12</v>
      </c>
      <c r="I19" s="2" t="s">
        <v>87</v>
      </c>
    </row>
    <row r="20" spans="1:9" x14ac:dyDescent="0.3">
      <c r="A20" s="1" t="s">
        <v>88</v>
      </c>
      <c r="B20" s="2" t="s">
        <v>89</v>
      </c>
      <c r="C20" s="2" t="s">
        <v>90</v>
      </c>
      <c r="D20" s="2" t="s">
        <v>12</v>
      </c>
      <c r="E20" s="2" t="s">
        <v>91</v>
      </c>
      <c r="F20" s="2" t="s">
        <v>92</v>
      </c>
      <c r="G20" s="2" t="s">
        <v>12</v>
      </c>
      <c r="H20" s="2" t="s">
        <v>12</v>
      </c>
      <c r="I20" s="2" t="s">
        <v>93</v>
      </c>
    </row>
    <row r="21" spans="1:9" x14ac:dyDescent="0.3">
      <c r="A21" s="1" t="s">
        <v>94</v>
      </c>
      <c r="B21" s="2" t="s">
        <v>95</v>
      </c>
      <c r="C21" s="2" t="s">
        <v>96</v>
      </c>
      <c r="D21" s="2" t="s">
        <v>12</v>
      </c>
      <c r="E21" s="2" t="s">
        <v>12</v>
      </c>
      <c r="F21" s="2" t="s">
        <v>12</v>
      </c>
      <c r="G21" s="2" t="s">
        <v>97</v>
      </c>
      <c r="H21" s="2" t="s">
        <v>12</v>
      </c>
      <c r="I21" s="2" t="s">
        <v>98</v>
      </c>
    </row>
    <row r="22" spans="1:9" x14ac:dyDescent="0.3">
      <c r="A22" s="1" t="s">
        <v>99</v>
      </c>
      <c r="B22" s="2" t="s">
        <v>100</v>
      </c>
      <c r="C22" s="2" t="s">
        <v>101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  <c r="I22" s="2" t="s">
        <v>102</v>
      </c>
    </row>
    <row r="23" spans="1:9" x14ac:dyDescent="0.3">
      <c r="A23" s="1" t="s">
        <v>103</v>
      </c>
      <c r="B23" s="2" t="s">
        <v>104</v>
      </c>
      <c r="C23" s="2" t="s">
        <v>105</v>
      </c>
      <c r="D23" s="2" t="s">
        <v>12</v>
      </c>
      <c r="E23" s="2" t="s">
        <v>12</v>
      </c>
      <c r="F23" s="2" t="s">
        <v>12</v>
      </c>
      <c r="G23" s="2" t="s">
        <v>12</v>
      </c>
      <c r="H23" s="2" t="s">
        <v>12</v>
      </c>
      <c r="I23" s="2" t="s">
        <v>106</v>
      </c>
    </row>
    <row r="24" spans="1:9" x14ac:dyDescent="0.3">
      <c r="A24" s="1" t="s">
        <v>107</v>
      </c>
      <c r="B24" s="2" t="s">
        <v>108</v>
      </c>
      <c r="C24" s="2" t="s">
        <v>109</v>
      </c>
      <c r="D24" s="2" t="s">
        <v>110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111</v>
      </c>
    </row>
    <row r="25" spans="1:9" x14ac:dyDescent="0.3">
      <c r="A25" s="1" t="s">
        <v>112</v>
      </c>
      <c r="B25" s="2" t="s">
        <v>113</v>
      </c>
      <c r="C25" s="2" t="s">
        <v>114</v>
      </c>
      <c r="D25" s="2" t="s">
        <v>12</v>
      </c>
      <c r="E25" s="2" t="s">
        <v>115</v>
      </c>
      <c r="F25" s="2" t="s">
        <v>12</v>
      </c>
      <c r="G25" s="2" t="s">
        <v>12</v>
      </c>
      <c r="H25" s="2" t="s">
        <v>12</v>
      </c>
      <c r="I25" s="2" t="s">
        <v>116</v>
      </c>
    </row>
    <row r="26" spans="1:9" x14ac:dyDescent="0.3">
      <c r="A26" s="1" t="s">
        <v>117</v>
      </c>
      <c r="B26" s="2" t="s">
        <v>118</v>
      </c>
      <c r="C26" s="2" t="s">
        <v>119</v>
      </c>
      <c r="D26" s="2" t="s">
        <v>12</v>
      </c>
      <c r="E26" s="2" t="s">
        <v>12</v>
      </c>
      <c r="F26" s="2" t="s">
        <v>12</v>
      </c>
      <c r="G26" s="2" t="s">
        <v>12</v>
      </c>
      <c r="H26" s="2" t="s">
        <v>12</v>
      </c>
      <c r="I26" s="2" t="s">
        <v>120</v>
      </c>
    </row>
    <row r="27" spans="1:9" x14ac:dyDescent="0.3">
      <c r="A27" s="1" t="s">
        <v>121</v>
      </c>
      <c r="B27" s="2" t="s">
        <v>12</v>
      </c>
      <c r="C27" s="2" t="s">
        <v>122</v>
      </c>
      <c r="D27" s="2" t="s">
        <v>12</v>
      </c>
      <c r="E27" s="2" t="s">
        <v>12</v>
      </c>
      <c r="F27" s="2" t="s">
        <v>12</v>
      </c>
      <c r="G27" s="2" t="s">
        <v>12</v>
      </c>
      <c r="H27" s="2" t="s">
        <v>12</v>
      </c>
      <c r="I27" s="2" t="s">
        <v>123</v>
      </c>
    </row>
    <row r="28" spans="1:9" x14ac:dyDescent="0.3">
      <c r="A28" s="1" t="s">
        <v>124</v>
      </c>
      <c r="B28" s="2" t="s">
        <v>125</v>
      </c>
      <c r="C28" s="2" t="s">
        <v>126</v>
      </c>
      <c r="D28" s="2" t="s">
        <v>12</v>
      </c>
      <c r="E28" s="2" t="s">
        <v>12</v>
      </c>
      <c r="F28" s="2" t="s">
        <v>12</v>
      </c>
      <c r="G28" s="2" t="s">
        <v>12</v>
      </c>
      <c r="H28" s="2" t="s">
        <v>12</v>
      </c>
      <c r="I28" s="2" t="s">
        <v>127</v>
      </c>
    </row>
    <row r="29" spans="1:9" x14ac:dyDescent="0.3">
      <c r="A29" s="1" t="s">
        <v>128</v>
      </c>
      <c r="B29" s="2" t="s">
        <v>129</v>
      </c>
      <c r="C29" s="2" t="s">
        <v>130</v>
      </c>
      <c r="D29" s="2" t="s">
        <v>12</v>
      </c>
      <c r="E29" s="2" t="s">
        <v>12</v>
      </c>
      <c r="F29" s="2" t="s">
        <v>12</v>
      </c>
      <c r="G29" s="2" t="s">
        <v>12</v>
      </c>
      <c r="H29" s="2" t="s">
        <v>12</v>
      </c>
      <c r="I29" s="2" t="s">
        <v>131</v>
      </c>
    </row>
    <row r="30" spans="1:9" x14ac:dyDescent="0.3">
      <c r="A30" s="1" t="s">
        <v>132</v>
      </c>
      <c r="B30" s="2" t="s">
        <v>133</v>
      </c>
      <c r="C30" s="2" t="s">
        <v>134</v>
      </c>
      <c r="D30" s="2" t="s">
        <v>12</v>
      </c>
      <c r="E30" s="2" t="s">
        <v>135</v>
      </c>
      <c r="F30" s="2" t="s">
        <v>136</v>
      </c>
      <c r="G30" s="2" t="s">
        <v>12</v>
      </c>
      <c r="H30" s="2" t="s">
        <v>12</v>
      </c>
      <c r="I30" s="2" t="s">
        <v>137</v>
      </c>
    </row>
    <row r="31" spans="1:9" x14ac:dyDescent="0.3">
      <c r="A31" s="1" t="s">
        <v>138</v>
      </c>
      <c r="B31" s="2" t="s">
        <v>12</v>
      </c>
      <c r="C31" s="2" t="s">
        <v>139</v>
      </c>
      <c r="D31" s="2" t="s">
        <v>12</v>
      </c>
      <c r="E31" s="2" t="s">
        <v>12</v>
      </c>
      <c r="F31" s="2" t="s">
        <v>140</v>
      </c>
      <c r="G31" s="2" t="s">
        <v>141</v>
      </c>
      <c r="H31" s="2" t="s">
        <v>12</v>
      </c>
      <c r="I31" s="2" t="s">
        <v>142</v>
      </c>
    </row>
    <row r="32" spans="1:9" x14ac:dyDescent="0.3">
      <c r="A32" s="1" t="s">
        <v>143</v>
      </c>
      <c r="B32" s="2" t="s">
        <v>113</v>
      </c>
      <c r="C32" s="2" t="s">
        <v>144</v>
      </c>
      <c r="D32" s="2" t="s">
        <v>12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57</v>
      </c>
    </row>
    <row r="33" spans="1:9" x14ac:dyDescent="0.3">
      <c r="A33" s="1" t="s">
        <v>145</v>
      </c>
      <c r="B33" s="2" t="s">
        <v>146</v>
      </c>
      <c r="C33" s="2" t="s">
        <v>147</v>
      </c>
      <c r="D33" s="2" t="s">
        <v>12</v>
      </c>
      <c r="E33" s="2" t="s">
        <v>148</v>
      </c>
      <c r="F33" s="2" t="s">
        <v>12</v>
      </c>
      <c r="G33" s="2" t="s">
        <v>12</v>
      </c>
      <c r="H33" s="2" t="s">
        <v>12</v>
      </c>
      <c r="I33" s="2" t="s">
        <v>149</v>
      </c>
    </row>
    <row r="34" spans="1:9" x14ac:dyDescent="0.3">
      <c r="A34" s="1" t="s">
        <v>150</v>
      </c>
      <c r="B34" s="2" t="s">
        <v>77</v>
      </c>
      <c r="C34" s="2" t="s">
        <v>151</v>
      </c>
      <c r="D34" s="2" t="s">
        <v>12</v>
      </c>
      <c r="E34" s="2" t="s">
        <v>12</v>
      </c>
      <c r="F34" s="2" t="s">
        <v>12</v>
      </c>
      <c r="G34" s="2" t="s">
        <v>12</v>
      </c>
      <c r="H34" s="2" t="s">
        <v>12</v>
      </c>
      <c r="I34" s="2" t="s">
        <v>152</v>
      </c>
    </row>
    <row r="35" spans="1:9" x14ac:dyDescent="0.3">
      <c r="A35" s="1" t="s">
        <v>153</v>
      </c>
      <c r="B35" s="2" t="s">
        <v>154</v>
      </c>
      <c r="C35" s="2" t="s">
        <v>155</v>
      </c>
      <c r="D35" s="2" t="s">
        <v>12</v>
      </c>
      <c r="E35" s="2" t="s">
        <v>12</v>
      </c>
      <c r="F35" s="2" t="s">
        <v>12</v>
      </c>
      <c r="G35" s="2" t="s">
        <v>12</v>
      </c>
      <c r="H35" s="2" t="s">
        <v>12</v>
      </c>
      <c r="I35" s="2" t="s">
        <v>156</v>
      </c>
    </row>
    <row r="36" spans="1:9" x14ac:dyDescent="0.3">
      <c r="A36" s="1" t="s">
        <v>157</v>
      </c>
      <c r="B36" s="2" t="s">
        <v>12</v>
      </c>
      <c r="C36" s="2" t="s">
        <v>158</v>
      </c>
      <c r="D36" s="2" t="s">
        <v>159</v>
      </c>
      <c r="E36" s="2" t="s">
        <v>12</v>
      </c>
      <c r="F36" s="2" t="s">
        <v>12</v>
      </c>
      <c r="G36" s="2" t="s">
        <v>12</v>
      </c>
      <c r="H36" s="2" t="s">
        <v>12</v>
      </c>
      <c r="I36" s="2" t="s">
        <v>160</v>
      </c>
    </row>
    <row r="37" spans="1:9" x14ac:dyDescent="0.3">
      <c r="A37" s="1" t="s">
        <v>161</v>
      </c>
      <c r="B37" s="2" t="s">
        <v>162</v>
      </c>
      <c r="C37" s="2" t="s">
        <v>163</v>
      </c>
      <c r="D37" s="2" t="s">
        <v>12</v>
      </c>
      <c r="E37" s="2" t="s">
        <v>164</v>
      </c>
      <c r="F37" s="2" t="s">
        <v>165</v>
      </c>
      <c r="G37" s="2" t="s">
        <v>12</v>
      </c>
      <c r="H37" s="2" t="s">
        <v>12</v>
      </c>
      <c r="I37" s="2" t="s">
        <v>166</v>
      </c>
    </row>
    <row r="38" spans="1:9" x14ac:dyDescent="0.3">
      <c r="A38" s="1" t="s">
        <v>167</v>
      </c>
      <c r="B38" s="2" t="s">
        <v>168</v>
      </c>
      <c r="C38" s="2" t="s">
        <v>169</v>
      </c>
      <c r="D38" s="2" t="s">
        <v>12</v>
      </c>
      <c r="E38" s="2" t="s">
        <v>12</v>
      </c>
      <c r="F38" s="2" t="s">
        <v>12</v>
      </c>
      <c r="G38" s="2" t="s">
        <v>12</v>
      </c>
      <c r="H38" s="2" t="s">
        <v>12</v>
      </c>
      <c r="I38" s="2" t="s">
        <v>170</v>
      </c>
    </row>
    <row r="39" spans="1:9" x14ac:dyDescent="0.3">
      <c r="A39" s="1" t="s">
        <v>171</v>
      </c>
      <c r="B39" s="2" t="s">
        <v>15</v>
      </c>
      <c r="C39" s="2" t="s">
        <v>20</v>
      </c>
      <c r="D39" s="2" t="s">
        <v>12</v>
      </c>
      <c r="E39" s="2" t="s">
        <v>12</v>
      </c>
      <c r="F39" s="2" t="s">
        <v>12</v>
      </c>
      <c r="G39" s="2" t="s">
        <v>12</v>
      </c>
      <c r="H39" s="2" t="s">
        <v>12</v>
      </c>
      <c r="I39" s="2" t="s">
        <v>172</v>
      </c>
    </row>
    <row r="40" spans="1:9" x14ac:dyDescent="0.3">
      <c r="A40" s="1" t="s">
        <v>173</v>
      </c>
      <c r="B40" s="2" t="s">
        <v>174</v>
      </c>
      <c r="C40" s="2" t="s">
        <v>175</v>
      </c>
      <c r="D40" s="2" t="s">
        <v>12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176</v>
      </c>
    </row>
    <row r="41" spans="1:9" x14ac:dyDescent="0.3">
      <c r="A41" s="1" t="s">
        <v>177</v>
      </c>
      <c r="B41" s="2" t="s">
        <v>178</v>
      </c>
      <c r="C41" s="2" t="s">
        <v>179</v>
      </c>
      <c r="D41" s="2" t="s">
        <v>12</v>
      </c>
      <c r="E41" s="2" t="s">
        <v>12</v>
      </c>
      <c r="F41" s="2" t="s">
        <v>12</v>
      </c>
      <c r="G41" s="2" t="s">
        <v>12</v>
      </c>
      <c r="H41" s="2" t="s">
        <v>12</v>
      </c>
      <c r="I41" s="2" t="s">
        <v>180</v>
      </c>
    </row>
    <row r="42" spans="1:9" x14ac:dyDescent="0.3">
      <c r="A42" s="1" t="s">
        <v>181</v>
      </c>
      <c r="B42" s="2" t="s">
        <v>182</v>
      </c>
      <c r="C42" s="2" t="s">
        <v>183</v>
      </c>
      <c r="D42" s="2" t="s">
        <v>12</v>
      </c>
      <c r="E42" s="2" t="s">
        <v>12</v>
      </c>
      <c r="F42" s="2" t="s">
        <v>12</v>
      </c>
      <c r="G42" s="2" t="s">
        <v>12</v>
      </c>
      <c r="H42" s="2" t="s">
        <v>12</v>
      </c>
      <c r="I42" s="2" t="s">
        <v>184</v>
      </c>
    </row>
    <row r="43" spans="1:9" x14ac:dyDescent="0.3">
      <c r="A43" s="1" t="s">
        <v>185</v>
      </c>
      <c r="B43" s="2" t="s">
        <v>186</v>
      </c>
      <c r="C43" s="2" t="s">
        <v>187</v>
      </c>
      <c r="D43" s="2" t="s">
        <v>12</v>
      </c>
      <c r="E43" s="2" t="s">
        <v>12</v>
      </c>
      <c r="F43" s="2" t="s">
        <v>188</v>
      </c>
      <c r="G43" s="2" t="s">
        <v>12</v>
      </c>
      <c r="H43" s="2" t="s">
        <v>12</v>
      </c>
      <c r="I43" s="2" t="s">
        <v>189</v>
      </c>
    </row>
    <row r="44" spans="1:9" x14ac:dyDescent="0.3">
      <c r="A44" s="1" t="s">
        <v>190</v>
      </c>
      <c r="B44" s="2" t="s">
        <v>12</v>
      </c>
      <c r="C44" s="2" t="s">
        <v>191</v>
      </c>
      <c r="D44" s="2" t="s">
        <v>12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192</v>
      </c>
    </row>
    <row r="45" spans="1:9" x14ac:dyDescent="0.3">
      <c r="A45" s="1" t="s">
        <v>193</v>
      </c>
      <c r="B45" s="2" t="s">
        <v>194</v>
      </c>
      <c r="C45" s="2" t="s">
        <v>39</v>
      </c>
      <c r="D45" s="2" t="s">
        <v>12</v>
      </c>
      <c r="E45" s="2" t="s">
        <v>12</v>
      </c>
      <c r="F45" s="2" t="s">
        <v>12</v>
      </c>
      <c r="G45" s="2" t="s">
        <v>195</v>
      </c>
      <c r="H45" s="2" t="s">
        <v>12</v>
      </c>
      <c r="I45" s="2" t="s">
        <v>196</v>
      </c>
    </row>
    <row r="46" spans="1:9" x14ac:dyDescent="0.3">
      <c r="A46" s="1" t="s">
        <v>197</v>
      </c>
      <c r="B46" s="2" t="s">
        <v>198</v>
      </c>
      <c r="C46" s="2" t="s">
        <v>199</v>
      </c>
      <c r="D46" s="2" t="s">
        <v>12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200</v>
      </c>
    </row>
    <row r="47" spans="1:9" x14ac:dyDescent="0.3">
      <c r="A47" s="1" t="s">
        <v>201</v>
      </c>
      <c r="B47" s="2" t="s">
        <v>202</v>
      </c>
      <c r="C47" s="2" t="s">
        <v>203</v>
      </c>
      <c r="D47" s="2" t="s">
        <v>204</v>
      </c>
      <c r="E47" s="2" t="s">
        <v>12</v>
      </c>
      <c r="F47" s="2" t="s">
        <v>12</v>
      </c>
      <c r="G47" s="2" t="s">
        <v>12</v>
      </c>
      <c r="H47" s="2" t="s">
        <v>12</v>
      </c>
      <c r="I47" s="2" t="s">
        <v>205</v>
      </c>
    </row>
    <row r="48" spans="1:9" x14ac:dyDescent="0.3">
      <c r="A48" s="1" t="s">
        <v>206</v>
      </c>
      <c r="B48" s="2" t="s">
        <v>146</v>
      </c>
      <c r="C48" s="2" t="s">
        <v>203</v>
      </c>
      <c r="D48" s="2" t="s">
        <v>12</v>
      </c>
      <c r="E48" s="2" t="s">
        <v>12</v>
      </c>
      <c r="F48" s="2" t="s">
        <v>12</v>
      </c>
      <c r="G48" s="2" t="s">
        <v>12</v>
      </c>
      <c r="H48" s="2" t="s">
        <v>12</v>
      </c>
      <c r="I48" s="2" t="s">
        <v>207</v>
      </c>
    </row>
    <row r="49" spans="1:9" x14ac:dyDescent="0.3">
      <c r="A49" s="1" t="s">
        <v>208</v>
      </c>
      <c r="B49" s="2" t="s">
        <v>86</v>
      </c>
      <c r="C49" s="2" t="s">
        <v>209</v>
      </c>
      <c r="D49" s="2" t="s">
        <v>12</v>
      </c>
      <c r="E49" s="2" t="s">
        <v>12</v>
      </c>
      <c r="F49" s="2" t="s">
        <v>12</v>
      </c>
      <c r="G49" s="2" t="s">
        <v>12</v>
      </c>
      <c r="H49" s="2" t="s">
        <v>12</v>
      </c>
      <c r="I49" s="2" t="s">
        <v>196</v>
      </c>
    </row>
    <row r="50" spans="1:9" x14ac:dyDescent="0.3">
      <c r="A50" s="1" t="s">
        <v>210</v>
      </c>
      <c r="B50" s="2" t="s">
        <v>108</v>
      </c>
      <c r="C50" s="2" t="s">
        <v>211</v>
      </c>
      <c r="D50" s="2" t="s">
        <v>12</v>
      </c>
      <c r="E50" s="2" t="s">
        <v>12</v>
      </c>
      <c r="F50" s="2" t="s">
        <v>12</v>
      </c>
      <c r="G50" s="2" t="s">
        <v>12</v>
      </c>
      <c r="H50" s="2" t="s">
        <v>12</v>
      </c>
      <c r="I50" s="2" t="s">
        <v>212</v>
      </c>
    </row>
    <row r="51" spans="1:9" x14ac:dyDescent="0.3">
      <c r="A51" s="1" t="s">
        <v>213</v>
      </c>
      <c r="B51" s="2" t="s">
        <v>12</v>
      </c>
      <c r="C51" s="2" t="s">
        <v>214</v>
      </c>
      <c r="D51" s="2" t="s">
        <v>12</v>
      </c>
      <c r="E51" s="2" t="s">
        <v>12</v>
      </c>
      <c r="F51" s="2" t="s">
        <v>12</v>
      </c>
      <c r="G51" s="2" t="s">
        <v>215</v>
      </c>
      <c r="H51" s="2" t="s">
        <v>12</v>
      </c>
      <c r="I51" s="2" t="s">
        <v>216</v>
      </c>
    </row>
    <row r="52" spans="1:9" x14ac:dyDescent="0.3">
      <c r="A52" s="1" t="s">
        <v>217</v>
      </c>
      <c r="B52" s="2" t="s">
        <v>218</v>
      </c>
      <c r="C52" s="2" t="s">
        <v>219</v>
      </c>
      <c r="D52" s="2" t="s">
        <v>12</v>
      </c>
      <c r="E52" s="2" t="s">
        <v>12</v>
      </c>
      <c r="F52" s="2" t="s">
        <v>12</v>
      </c>
      <c r="G52" s="2" t="s">
        <v>220</v>
      </c>
      <c r="H52" s="2" t="s">
        <v>12</v>
      </c>
      <c r="I52" s="2" t="s">
        <v>221</v>
      </c>
    </row>
    <row r="53" spans="1:9" x14ac:dyDescent="0.3">
      <c r="A53" s="1" t="s">
        <v>222</v>
      </c>
      <c r="B53" s="2" t="s">
        <v>38</v>
      </c>
      <c r="C53" s="2" t="s">
        <v>126</v>
      </c>
      <c r="D53" s="2" t="s">
        <v>12</v>
      </c>
      <c r="E53" s="2" t="s">
        <v>12</v>
      </c>
      <c r="F53" s="2" t="s">
        <v>12</v>
      </c>
      <c r="G53" s="2" t="s">
        <v>12</v>
      </c>
      <c r="H53" s="2" t="s">
        <v>12</v>
      </c>
      <c r="I53" s="2" t="s">
        <v>223</v>
      </c>
    </row>
    <row r="54" spans="1:9" x14ac:dyDescent="0.3">
      <c r="A54" s="1" t="s">
        <v>224</v>
      </c>
      <c r="B54" s="2" t="s">
        <v>225</v>
      </c>
      <c r="C54" s="2" t="s">
        <v>39</v>
      </c>
      <c r="D54" s="2" t="s">
        <v>12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226</v>
      </c>
    </row>
    <row r="55" spans="1:9" x14ac:dyDescent="0.3">
      <c r="A55" s="1" t="s">
        <v>227</v>
      </c>
      <c r="B55" s="2" t="s">
        <v>228</v>
      </c>
      <c r="C55" s="2" t="s">
        <v>229</v>
      </c>
      <c r="D55" s="2" t="s">
        <v>12</v>
      </c>
      <c r="E55" s="2" t="s">
        <v>12</v>
      </c>
      <c r="F55" s="2" t="s">
        <v>12</v>
      </c>
      <c r="G55" s="2" t="s">
        <v>12</v>
      </c>
      <c r="H55" s="2" t="s">
        <v>12</v>
      </c>
      <c r="I55" s="2" t="s">
        <v>230</v>
      </c>
    </row>
    <row r="56" spans="1:9" x14ac:dyDescent="0.3">
      <c r="A56" s="1" t="s">
        <v>231</v>
      </c>
      <c r="B56" s="2" t="s">
        <v>232</v>
      </c>
      <c r="C56" s="2" t="s">
        <v>233</v>
      </c>
      <c r="D56" s="2" t="s">
        <v>12</v>
      </c>
      <c r="E56" s="2" t="s">
        <v>12</v>
      </c>
      <c r="F56" s="2" t="s">
        <v>12</v>
      </c>
      <c r="G56" s="2" t="s">
        <v>12</v>
      </c>
      <c r="H56" s="2" t="s">
        <v>12</v>
      </c>
      <c r="I56" s="2" t="s">
        <v>234</v>
      </c>
    </row>
    <row r="57" spans="1:9" x14ac:dyDescent="0.3">
      <c r="A57" s="1" t="s">
        <v>235</v>
      </c>
      <c r="B57" s="2" t="s">
        <v>125</v>
      </c>
      <c r="C57" s="2" t="s">
        <v>203</v>
      </c>
      <c r="D57" s="2" t="s">
        <v>12</v>
      </c>
      <c r="E57" s="2" t="s">
        <v>12</v>
      </c>
      <c r="F57" s="2" t="s">
        <v>12</v>
      </c>
      <c r="G57" s="2" t="s">
        <v>12</v>
      </c>
      <c r="H57" s="2" t="s">
        <v>12</v>
      </c>
      <c r="I57" s="2" t="s">
        <v>236</v>
      </c>
    </row>
    <row r="58" spans="1:9" x14ac:dyDescent="0.3">
      <c r="A58" s="1" t="s">
        <v>237</v>
      </c>
      <c r="B58" s="2" t="s">
        <v>15</v>
      </c>
      <c r="C58" s="2" t="s">
        <v>203</v>
      </c>
      <c r="D58" s="2" t="s">
        <v>12</v>
      </c>
      <c r="E58" s="2" t="s">
        <v>12</v>
      </c>
      <c r="F58" s="2" t="s">
        <v>12</v>
      </c>
      <c r="G58" s="2" t="s">
        <v>12</v>
      </c>
      <c r="H58" s="2" t="s">
        <v>12</v>
      </c>
      <c r="I58" s="2" t="s">
        <v>238</v>
      </c>
    </row>
    <row r="59" spans="1:9" x14ac:dyDescent="0.3">
      <c r="A59" s="1" t="s">
        <v>239</v>
      </c>
      <c r="B59" s="2" t="s">
        <v>47</v>
      </c>
      <c r="C59" s="2" t="s">
        <v>240</v>
      </c>
      <c r="D59" s="2" t="s">
        <v>12</v>
      </c>
      <c r="E59" s="2" t="s">
        <v>12</v>
      </c>
      <c r="F59" s="2" t="s">
        <v>12</v>
      </c>
      <c r="G59" s="2" t="s">
        <v>12</v>
      </c>
      <c r="H59" s="2" t="s">
        <v>12</v>
      </c>
      <c r="I59" s="2" t="s">
        <v>241</v>
      </c>
    </row>
    <row r="60" spans="1:9" x14ac:dyDescent="0.3">
      <c r="A60" s="1" t="s">
        <v>242</v>
      </c>
      <c r="B60" s="2" t="s">
        <v>243</v>
      </c>
      <c r="C60" s="2" t="s">
        <v>211</v>
      </c>
      <c r="D60" s="2" t="s">
        <v>12</v>
      </c>
      <c r="E60" s="2" t="s">
        <v>244</v>
      </c>
      <c r="F60" s="2" t="s">
        <v>245</v>
      </c>
      <c r="G60" s="2" t="s">
        <v>12</v>
      </c>
      <c r="H60" s="2" t="s">
        <v>12</v>
      </c>
      <c r="I60" s="2" t="s">
        <v>246</v>
      </c>
    </row>
    <row r="61" spans="1:9" x14ac:dyDescent="0.3">
      <c r="A61" s="1" t="s">
        <v>247</v>
      </c>
      <c r="B61" s="2" t="s">
        <v>86</v>
      </c>
      <c r="C61" s="2" t="s">
        <v>248</v>
      </c>
      <c r="D61" s="2" t="s">
        <v>12</v>
      </c>
      <c r="E61" s="2" t="s">
        <v>249</v>
      </c>
      <c r="F61" s="2" t="s">
        <v>12</v>
      </c>
      <c r="G61" s="2" t="s">
        <v>250</v>
      </c>
      <c r="H61" s="2" t="s">
        <v>12</v>
      </c>
      <c r="I61" s="2" t="s">
        <v>251</v>
      </c>
    </row>
    <row r="62" spans="1:9" x14ac:dyDescent="0.3">
      <c r="A62" s="1" t="s">
        <v>252</v>
      </c>
      <c r="B62" s="2" t="s">
        <v>12</v>
      </c>
      <c r="C62" s="2" t="s">
        <v>253</v>
      </c>
      <c r="D62" s="2" t="s">
        <v>12</v>
      </c>
      <c r="E62" s="2" t="s">
        <v>12</v>
      </c>
      <c r="F62" s="2" t="s">
        <v>12</v>
      </c>
      <c r="G62" s="2" t="s">
        <v>12</v>
      </c>
      <c r="H62" s="2" t="s">
        <v>12</v>
      </c>
      <c r="I62" s="2" t="s">
        <v>254</v>
      </c>
    </row>
    <row r="63" spans="1:9" x14ac:dyDescent="0.3">
      <c r="A63" s="1" t="s">
        <v>255</v>
      </c>
      <c r="B63" s="2" t="s">
        <v>108</v>
      </c>
      <c r="C63" s="2" t="s">
        <v>52</v>
      </c>
      <c r="D63" s="2" t="s">
        <v>256</v>
      </c>
      <c r="E63" s="2" t="s">
        <v>12</v>
      </c>
      <c r="F63" s="2" t="s">
        <v>12</v>
      </c>
      <c r="G63" s="2" t="s">
        <v>12</v>
      </c>
      <c r="H63" s="2" t="s">
        <v>12</v>
      </c>
      <c r="I63" s="2" t="s">
        <v>257</v>
      </c>
    </row>
    <row r="64" spans="1:9" x14ac:dyDescent="0.3">
      <c r="A64" s="1" t="s">
        <v>258</v>
      </c>
      <c r="B64" s="2" t="s">
        <v>113</v>
      </c>
      <c r="C64" s="2" t="s">
        <v>233</v>
      </c>
      <c r="D64" s="2" t="s">
        <v>12</v>
      </c>
      <c r="E64" s="2" t="s">
        <v>259</v>
      </c>
      <c r="F64" s="2" t="s">
        <v>260</v>
      </c>
      <c r="G64" s="2" t="s">
        <v>12</v>
      </c>
      <c r="H64" s="2" t="s">
        <v>12</v>
      </c>
      <c r="I64" s="2" t="s">
        <v>261</v>
      </c>
    </row>
    <row r="65" spans="1:9" x14ac:dyDescent="0.3">
      <c r="A65" s="1" t="s">
        <v>262</v>
      </c>
      <c r="B65" s="2" t="s">
        <v>263</v>
      </c>
      <c r="C65" s="2" t="s">
        <v>264</v>
      </c>
      <c r="D65" s="2" t="s">
        <v>12</v>
      </c>
      <c r="E65" s="2" t="s">
        <v>265</v>
      </c>
      <c r="F65" s="2" t="s">
        <v>266</v>
      </c>
      <c r="G65" s="2" t="s">
        <v>12</v>
      </c>
      <c r="H65" s="2" t="s">
        <v>12</v>
      </c>
      <c r="I65" s="2" t="s">
        <v>267</v>
      </c>
    </row>
    <row r="66" spans="1:9" x14ac:dyDescent="0.3">
      <c r="A66" s="1" t="s">
        <v>268</v>
      </c>
      <c r="B66" s="2" t="s">
        <v>12</v>
      </c>
      <c r="C66" s="2" t="s">
        <v>269</v>
      </c>
      <c r="D66" s="2" t="s">
        <v>12</v>
      </c>
      <c r="E66" s="2" t="s">
        <v>12</v>
      </c>
      <c r="F66" s="2" t="s">
        <v>12</v>
      </c>
      <c r="G66" s="2" t="s">
        <v>270</v>
      </c>
      <c r="H66" s="2" t="s">
        <v>12</v>
      </c>
      <c r="I66" s="2" t="s">
        <v>271</v>
      </c>
    </row>
    <row r="67" spans="1:9" x14ac:dyDescent="0.3">
      <c r="A67" s="1" t="s">
        <v>272</v>
      </c>
      <c r="B67" s="2" t="s">
        <v>168</v>
      </c>
      <c r="C67" s="2" t="s">
        <v>273</v>
      </c>
      <c r="D67" s="2" t="s">
        <v>12</v>
      </c>
      <c r="E67" s="2" t="s">
        <v>12</v>
      </c>
      <c r="F67" s="2" t="s">
        <v>12</v>
      </c>
      <c r="G67" s="2" t="s">
        <v>12</v>
      </c>
      <c r="H67" s="2" t="s">
        <v>12</v>
      </c>
      <c r="I67" s="2" t="s">
        <v>274</v>
      </c>
    </row>
    <row r="68" spans="1:9" x14ac:dyDescent="0.3">
      <c r="A68" s="1" t="s">
        <v>275</v>
      </c>
      <c r="B68" s="2" t="s">
        <v>276</v>
      </c>
      <c r="C68" s="2" t="s">
        <v>277</v>
      </c>
      <c r="D68" s="2" t="s">
        <v>12</v>
      </c>
      <c r="E68" s="2" t="s">
        <v>12</v>
      </c>
      <c r="F68" s="2" t="s">
        <v>12</v>
      </c>
      <c r="G68" s="2" t="s">
        <v>12</v>
      </c>
      <c r="H68" s="2" t="s">
        <v>12</v>
      </c>
      <c r="I68" s="2" t="s">
        <v>278</v>
      </c>
    </row>
    <row r="69" spans="1:9" x14ac:dyDescent="0.3">
      <c r="A69" s="1" t="s">
        <v>279</v>
      </c>
      <c r="B69" s="2" t="s">
        <v>19</v>
      </c>
      <c r="C69" s="2" t="s">
        <v>280</v>
      </c>
      <c r="D69" s="2" t="s">
        <v>281</v>
      </c>
      <c r="E69" s="2" t="s">
        <v>12</v>
      </c>
      <c r="F69" s="2" t="s">
        <v>12</v>
      </c>
      <c r="G69" s="2" t="s">
        <v>12</v>
      </c>
      <c r="H69" s="2" t="s">
        <v>12</v>
      </c>
      <c r="I69" s="2" t="s">
        <v>282</v>
      </c>
    </row>
    <row r="70" spans="1:9" x14ac:dyDescent="0.3">
      <c r="A70" s="1" t="s">
        <v>283</v>
      </c>
      <c r="B70" s="2" t="s">
        <v>38</v>
      </c>
      <c r="C70" s="2" t="s">
        <v>16</v>
      </c>
      <c r="D70" s="2" t="s">
        <v>12</v>
      </c>
      <c r="E70" s="2" t="s">
        <v>12</v>
      </c>
      <c r="F70" s="2" t="s">
        <v>12</v>
      </c>
      <c r="G70" s="2" t="s">
        <v>12</v>
      </c>
      <c r="H70" s="2" t="s">
        <v>12</v>
      </c>
      <c r="I70" s="2" t="s">
        <v>131</v>
      </c>
    </row>
    <row r="71" spans="1:9" x14ac:dyDescent="0.3">
      <c r="A71" s="1" t="s">
        <v>284</v>
      </c>
      <c r="B71" s="2" t="s">
        <v>285</v>
      </c>
      <c r="C71" s="2" t="s">
        <v>286</v>
      </c>
      <c r="D71" s="2" t="s">
        <v>12</v>
      </c>
      <c r="E71" s="2" t="s">
        <v>12</v>
      </c>
      <c r="F71" s="2" t="s">
        <v>287</v>
      </c>
      <c r="G71" s="2" t="s">
        <v>12</v>
      </c>
      <c r="H71" s="2" t="s">
        <v>12</v>
      </c>
      <c r="I71" s="2" t="s">
        <v>288</v>
      </c>
    </row>
    <row r="72" spans="1:9" x14ac:dyDescent="0.3">
      <c r="A72" s="1" t="s">
        <v>289</v>
      </c>
      <c r="B72" s="2" t="s">
        <v>125</v>
      </c>
      <c r="C72" s="2" t="s">
        <v>290</v>
      </c>
      <c r="D72" s="2" t="s">
        <v>12</v>
      </c>
      <c r="E72" s="2" t="s">
        <v>12</v>
      </c>
      <c r="F72" s="2" t="s">
        <v>12</v>
      </c>
      <c r="G72" s="2" t="s">
        <v>12</v>
      </c>
      <c r="H72" s="2" t="s">
        <v>12</v>
      </c>
      <c r="I72" s="2" t="s">
        <v>236</v>
      </c>
    </row>
    <row r="73" spans="1:9" x14ac:dyDescent="0.3">
      <c r="A73" s="1" t="s">
        <v>291</v>
      </c>
      <c r="B73" s="2" t="s">
        <v>168</v>
      </c>
      <c r="C73" s="2" t="s">
        <v>292</v>
      </c>
      <c r="D73" s="2" t="s">
        <v>12</v>
      </c>
      <c r="E73" s="2" t="s">
        <v>12</v>
      </c>
      <c r="F73" s="2" t="s">
        <v>293</v>
      </c>
      <c r="G73" s="2" t="s">
        <v>12</v>
      </c>
      <c r="H73" s="2" t="s">
        <v>12</v>
      </c>
      <c r="I73" s="2" t="s">
        <v>294</v>
      </c>
    </row>
    <row r="74" spans="1:9" x14ac:dyDescent="0.3">
      <c r="A74" s="1" t="s">
        <v>295</v>
      </c>
      <c r="B74" s="2" t="s">
        <v>162</v>
      </c>
      <c r="C74" s="2" t="s">
        <v>296</v>
      </c>
      <c r="D74" s="2" t="s">
        <v>297</v>
      </c>
      <c r="E74" s="2" t="s">
        <v>12</v>
      </c>
      <c r="F74" s="2" t="s">
        <v>12</v>
      </c>
      <c r="G74" s="2" t="s">
        <v>12</v>
      </c>
      <c r="H74" s="2" t="s">
        <v>12</v>
      </c>
      <c r="I74" s="2" t="s">
        <v>298</v>
      </c>
    </row>
    <row r="75" spans="1:9" x14ac:dyDescent="0.3">
      <c r="A75" s="1" t="s">
        <v>299</v>
      </c>
      <c r="B75" s="2" t="s">
        <v>15</v>
      </c>
      <c r="C75" s="2" t="s">
        <v>139</v>
      </c>
      <c r="D75" s="2" t="s">
        <v>12</v>
      </c>
      <c r="E75" s="2" t="s">
        <v>12</v>
      </c>
      <c r="F75" s="2" t="s">
        <v>300</v>
      </c>
      <c r="G75" s="2" t="s">
        <v>12</v>
      </c>
      <c r="H75" s="2" t="s">
        <v>12</v>
      </c>
      <c r="I75" s="2" t="s">
        <v>301</v>
      </c>
    </row>
    <row r="76" spans="1:9" x14ac:dyDescent="0.3">
      <c r="A76" s="1" t="s">
        <v>302</v>
      </c>
      <c r="B76" s="2" t="s">
        <v>38</v>
      </c>
      <c r="C76" s="2" t="s">
        <v>39</v>
      </c>
      <c r="D76" s="2" t="s">
        <v>12</v>
      </c>
      <c r="E76" s="2" t="s">
        <v>12</v>
      </c>
      <c r="F76" s="2" t="s">
        <v>12</v>
      </c>
      <c r="G76" s="2" t="s">
        <v>12</v>
      </c>
      <c r="H76" s="2" t="s">
        <v>303</v>
      </c>
      <c r="I76" s="2" t="s">
        <v>304</v>
      </c>
    </row>
    <row r="77" spans="1:9" x14ac:dyDescent="0.3">
      <c r="A77" s="1" t="s">
        <v>305</v>
      </c>
      <c r="B77" s="2" t="s">
        <v>306</v>
      </c>
      <c r="C77" s="2" t="s">
        <v>307</v>
      </c>
      <c r="D77" s="2" t="s">
        <v>70</v>
      </c>
      <c r="E77" s="2" t="s">
        <v>12</v>
      </c>
      <c r="F77" s="2" t="s">
        <v>12</v>
      </c>
      <c r="G77" s="2" t="s">
        <v>12</v>
      </c>
      <c r="H77" s="2" t="s">
        <v>12</v>
      </c>
      <c r="I77" s="2" t="s">
        <v>308</v>
      </c>
    </row>
    <row r="78" spans="1:9" x14ac:dyDescent="0.3">
      <c r="A78" s="1" t="s">
        <v>309</v>
      </c>
      <c r="B78" s="2" t="s">
        <v>310</v>
      </c>
      <c r="C78" s="2" t="s">
        <v>311</v>
      </c>
      <c r="D78" s="2" t="s">
        <v>12</v>
      </c>
      <c r="E78" s="2" t="s">
        <v>12</v>
      </c>
      <c r="F78" s="2" t="s">
        <v>312</v>
      </c>
      <c r="G78" s="2" t="s">
        <v>12</v>
      </c>
      <c r="H78" s="2" t="s">
        <v>313</v>
      </c>
      <c r="I78" s="2" t="s">
        <v>314</v>
      </c>
    </row>
    <row r="79" spans="1:9" x14ac:dyDescent="0.3">
      <c r="A79" s="1" t="s">
        <v>315</v>
      </c>
      <c r="B79" s="2" t="s">
        <v>38</v>
      </c>
      <c r="C79" s="2" t="s">
        <v>316</v>
      </c>
      <c r="D79" s="2" t="s">
        <v>317</v>
      </c>
      <c r="E79" s="2" t="s">
        <v>12</v>
      </c>
      <c r="F79" s="2" t="s">
        <v>318</v>
      </c>
      <c r="G79" s="2" t="s">
        <v>12</v>
      </c>
      <c r="H79" s="2" t="s">
        <v>12</v>
      </c>
      <c r="I79" s="2" t="s">
        <v>319</v>
      </c>
    </row>
    <row r="80" spans="1:9" x14ac:dyDescent="0.3">
      <c r="A80" s="1" t="s">
        <v>320</v>
      </c>
      <c r="B80" s="2" t="s">
        <v>113</v>
      </c>
      <c r="C80" s="2" t="s">
        <v>321</v>
      </c>
      <c r="D80" s="2" t="s">
        <v>12</v>
      </c>
      <c r="E80" s="2" t="s">
        <v>12</v>
      </c>
      <c r="F80" s="2" t="s">
        <v>12</v>
      </c>
      <c r="G80" s="2" t="s">
        <v>12</v>
      </c>
      <c r="H80" s="2" t="s">
        <v>12</v>
      </c>
      <c r="I80" s="2" t="s">
        <v>322</v>
      </c>
    </row>
    <row r="81" spans="1:9" x14ac:dyDescent="0.3">
      <c r="A81" s="1" t="s">
        <v>323</v>
      </c>
      <c r="B81" s="2" t="s">
        <v>324</v>
      </c>
      <c r="C81" s="2" t="s">
        <v>325</v>
      </c>
      <c r="D81" s="2" t="s">
        <v>326</v>
      </c>
      <c r="E81" s="2" t="s">
        <v>12</v>
      </c>
      <c r="F81" s="2" t="s">
        <v>12</v>
      </c>
      <c r="G81" s="2" t="s">
        <v>12</v>
      </c>
      <c r="H81" s="2" t="s">
        <v>12</v>
      </c>
      <c r="I81" s="2" t="s">
        <v>327</v>
      </c>
    </row>
    <row r="82" spans="1:9" x14ac:dyDescent="0.3">
      <c r="A82" s="1" t="s">
        <v>328</v>
      </c>
      <c r="B82" s="2" t="s">
        <v>329</v>
      </c>
      <c r="C82" s="2" t="s">
        <v>330</v>
      </c>
      <c r="D82" s="2" t="s">
        <v>12</v>
      </c>
      <c r="E82" s="2" t="s">
        <v>12</v>
      </c>
      <c r="F82" s="2" t="s">
        <v>331</v>
      </c>
      <c r="G82" s="2" t="s">
        <v>12</v>
      </c>
      <c r="H82" s="2" t="s">
        <v>12</v>
      </c>
      <c r="I82" s="2" t="s">
        <v>332</v>
      </c>
    </row>
    <row r="83" spans="1:9" x14ac:dyDescent="0.3">
      <c r="A83" s="1" t="s">
        <v>333</v>
      </c>
      <c r="B83" s="2" t="s">
        <v>334</v>
      </c>
      <c r="C83" s="2" t="s">
        <v>335</v>
      </c>
      <c r="D83" s="2" t="s">
        <v>12</v>
      </c>
      <c r="E83" s="2" t="s">
        <v>12</v>
      </c>
      <c r="F83" s="2" t="s">
        <v>12</v>
      </c>
      <c r="G83" s="2" t="s">
        <v>12</v>
      </c>
      <c r="H83" s="2" t="s">
        <v>12</v>
      </c>
      <c r="I83" s="2" t="s">
        <v>336</v>
      </c>
    </row>
    <row r="84" spans="1:9" x14ac:dyDescent="0.3">
      <c r="A84" s="1" t="s">
        <v>337</v>
      </c>
      <c r="B84" s="2" t="s">
        <v>12</v>
      </c>
      <c r="C84" s="2" t="s">
        <v>139</v>
      </c>
      <c r="D84" s="2" t="s">
        <v>12</v>
      </c>
      <c r="E84" s="2" t="s">
        <v>12</v>
      </c>
      <c r="F84" s="2" t="s">
        <v>12</v>
      </c>
      <c r="G84" s="2" t="s">
        <v>12</v>
      </c>
      <c r="H84" s="2" t="s">
        <v>12</v>
      </c>
      <c r="I84" s="2" t="s">
        <v>338</v>
      </c>
    </row>
    <row r="85" spans="1:9" x14ac:dyDescent="0.3">
      <c r="A85" s="1" t="s">
        <v>339</v>
      </c>
      <c r="B85" s="2" t="s">
        <v>340</v>
      </c>
      <c r="C85" s="2" t="s">
        <v>147</v>
      </c>
      <c r="D85" s="2" t="s">
        <v>12</v>
      </c>
      <c r="E85" s="2" t="s">
        <v>12</v>
      </c>
      <c r="F85" s="2" t="s">
        <v>12</v>
      </c>
      <c r="G85" s="2" t="s">
        <v>12</v>
      </c>
      <c r="H85" s="2" t="s">
        <v>12</v>
      </c>
      <c r="I85" s="2" t="s">
        <v>341</v>
      </c>
    </row>
    <row r="86" spans="1:9" x14ac:dyDescent="0.3">
      <c r="A86" s="1" t="s">
        <v>342</v>
      </c>
      <c r="B86" s="2" t="s">
        <v>15</v>
      </c>
      <c r="C86" s="2" t="s">
        <v>343</v>
      </c>
      <c r="D86" s="2" t="s">
        <v>12</v>
      </c>
      <c r="E86" s="2" t="s">
        <v>12</v>
      </c>
      <c r="F86" s="2" t="s">
        <v>12</v>
      </c>
      <c r="G86" s="2" t="s">
        <v>12</v>
      </c>
      <c r="H86" s="2" t="s">
        <v>12</v>
      </c>
      <c r="I86" s="2" t="s">
        <v>344</v>
      </c>
    </row>
    <row r="87" spans="1:9" x14ac:dyDescent="0.3">
      <c r="A87" s="1" t="s">
        <v>345</v>
      </c>
      <c r="B87" s="2" t="s">
        <v>346</v>
      </c>
      <c r="C87" s="2" t="s">
        <v>347</v>
      </c>
      <c r="D87" s="2" t="s">
        <v>12</v>
      </c>
      <c r="E87" s="2" t="s">
        <v>12</v>
      </c>
      <c r="F87" s="2" t="s">
        <v>12</v>
      </c>
      <c r="G87" s="2" t="s">
        <v>12</v>
      </c>
      <c r="H87" s="2" t="s">
        <v>348</v>
      </c>
      <c r="I87" s="2" t="s">
        <v>349</v>
      </c>
    </row>
    <row r="88" spans="1:9" x14ac:dyDescent="0.3">
      <c r="A88" s="1" t="s">
        <v>350</v>
      </c>
      <c r="B88" s="2" t="s">
        <v>351</v>
      </c>
      <c r="C88" s="2" t="s">
        <v>290</v>
      </c>
      <c r="D88" s="2" t="s">
        <v>12</v>
      </c>
      <c r="E88" s="2" t="s">
        <v>12</v>
      </c>
      <c r="F88" s="2" t="s">
        <v>12</v>
      </c>
      <c r="G88" s="2" t="s">
        <v>12</v>
      </c>
      <c r="H88" s="2" t="s">
        <v>352</v>
      </c>
      <c r="I88" s="2" t="s">
        <v>353</v>
      </c>
    </row>
    <row r="89" spans="1:9" x14ac:dyDescent="0.3">
      <c r="A89" s="1" t="s">
        <v>354</v>
      </c>
      <c r="B89" s="2" t="s">
        <v>355</v>
      </c>
      <c r="C89" s="2" t="s">
        <v>356</v>
      </c>
      <c r="D89" s="2" t="s">
        <v>12</v>
      </c>
      <c r="E89" s="2" t="s">
        <v>357</v>
      </c>
      <c r="F89" s="2" t="s">
        <v>12</v>
      </c>
      <c r="G89" s="2" t="s">
        <v>12</v>
      </c>
      <c r="H89" s="2" t="s">
        <v>358</v>
      </c>
      <c r="I89" s="2" t="s">
        <v>359</v>
      </c>
    </row>
    <row r="90" spans="1:9" x14ac:dyDescent="0.3">
      <c r="A90" s="1" t="s">
        <v>360</v>
      </c>
      <c r="B90" s="2" t="s">
        <v>361</v>
      </c>
      <c r="C90" s="2" t="s">
        <v>362</v>
      </c>
      <c r="D90" s="2" t="s">
        <v>12</v>
      </c>
      <c r="E90" s="2" t="s">
        <v>363</v>
      </c>
      <c r="F90" s="2" t="s">
        <v>364</v>
      </c>
      <c r="G90" s="2" t="s">
        <v>12</v>
      </c>
      <c r="H90" s="2" t="s">
        <v>365</v>
      </c>
      <c r="I90" s="2" t="s">
        <v>366</v>
      </c>
    </row>
    <row r="91" spans="1:9" x14ac:dyDescent="0.3">
      <c r="A91" s="1" t="s">
        <v>367</v>
      </c>
      <c r="B91" s="2" t="s">
        <v>368</v>
      </c>
      <c r="C91" s="2" t="s">
        <v>126</v>
      </c>
      <c r="D91" s="2" t="s">
        <v>12</v>
      </c>
      <c r="E91" s="2" t="s">
        <v>12</v>
      </c>
      <c r="F91" s="2" t="s">
        <v>12</v>
      </c>
      <c r="G91" s="2" t="s">
        <v>12</v>
      </c>
      <c r="H91" s="2" t="s">
        <v>369</v>
      </c>
      <c r="I91" s="2" t="s">
        <v>370</v>
      </c>
    </row>
    <row r="92" spans="1:9" x14ac:dyDescent="0.3">
      <c r="A92" s="1" t="s">
        <v>371</v>
      </c>
      <c r="B92" s="2" t="s">
        <v>38</v>
      </c>
      <c r="C92" s="2" t="s">
        <v>52</v>
      </c>
      <c r="D92" s="2" t="s">
        <v>12</v>
      </c>
      <c r="E92" s="2" t="s">
        <v>372</v>
      </c>
      <c r="F92" s="2" t="s">
        <v>12</v>
      </c>
      <c r="G92" s="2" t="s">
        <v>12</v>
      </c>
      <c r="H92" s="2" t="s">
        <v>12</v>
      </c>
      <c r="I92" s="2" t="s">
        <v>373</v>
      </c>
    </row>
    <row r="93" spans="1:9" x14ac:dyDescent="0.3">
      <c r="A93" s="1" t="s">
        <v>374</v>
      </c>
      <c r="B93" s="2" t="s">
        <v>12</v>
      </c>
      <c r="C93" s="2" t="s">
        <v>375</v>
      </c>
      <c r="D93" s="2" t="s">
        <v>12</v>
      </c>
      <c r="E93" s="2" t="s">
        <v>12</v>
      </c>
      <c r="F93" s="2" t="s">
        <v>376</v>
      </c>
      <c r="G93" s="2" t="s">
        <v>377</v>
      </c>
      <c r="H93" s="2" t="s">
        <v>12</v>
      </c>
      <c r="I93" s="2" t="s">
        <v>378</v>
      </c>
    </row>
    <row r="94" spans="1:9" x14ac:dyDescent="0.3">
      <c r="A94" s="1" t="s">
        <v>379</v>
      </c>
      <c r="B94" s="2" t="s">
        <v>380</v>
      </c>
      <c r="C94" s="2" t="s">
        <v>271</v>
      </c>
      <c r="D94" s="2" t="s">
        <v>12</v>
      </c>
      <c r="E94" s="2" t="s">
        <v>12</v>
      </c>
      <c r="F94" s="2" t="s">
        <v>12</v>
      </c>
      <c r="G94" s="2" t="s">
        <v>12</v>
      </c>
      <c r="H94" s="2" t="s">
        <v>12</v>
      </c>
      <c r="I94" s="2" t="s">
        <v>207</v>
      </c>
    </row>
    <row r="95" spans="1:9" x14ac:dyDescent="0.3">
      <c r="A95" s="1" t="s">
        <v>381</v>
      </c>
      <c r="B95" s="2" t="s">
        <v>351</v>
      </c>
      <c r="C95" s="2" t="s">
        <v>382</v>
      </c>
      <c r="D95" s="2" t="s">
        <v>12</v>
      </c>
      <c r="E95" s="2" t="s">
        <v>12</v>
      </c>
      <c r="F95" s="2" t="s">
        <v>383</v>
      </c>
      <c r="G95" s="2" t="s">
        <v>12</v>
      </c>
      <c r="H95" s="2" t="s">
        <v>384</v>
      </c>
      <c r="I95" s="2" t="s">
        <v>385</v>
      </c>
    </row>
    <row r="96" spans="1:9" x14ac:dyDescent="0.3">
      <c r="A96" s="1" t="s">
        <v>386</v>
      </c>
      <c r="B96" s="2" t="s">
        <v>24</v>
      </c>
      <c r="C96" s="2" t="s">
        <v>387</v>
      </c>
      <c r="D96" s="2" t="s">
        <v>12</v>
      </c>
      <c r="E96" s="2" t="s">
        <v>12</v>
      </c>
      <c r="F96" s="2" t="s">
        <v>388</v>
      </c>
      <c r="G96" s="2" t="s">
        <v>12</v>
      </c>
      <c r="H96" s="2" t="s">
        <v>389</v>
      </c>
      <c r="I96" s="2" t="s">
        <v>390</v>
      </c>
    </row>
    <row r="97" spans="1:9" x14ac:dyDescent="0.3">
      <c r="A97" s="1" t="s">
        <v>391</v>
      </c>
      <c r="B97" s="2" t="s">
        <v>392</v>
      </c>
      <c r="C97" s="2" t="s">
        <v>393</v>
      </c>
      <c r="D97" s="2" t="s">
        <v>12</v>
      </c>
      <c r="E97" s="2" t="s">
        <v>12</v>
      </c>
      <c r="F97" s="2" t="s">
        <v>12</v>
      </c>
      <c r="G97" s="2" t="s">
        <v>394</v>
      </c>
      <c r="H97" s="2" t="s">
        <v>12</v>
      </c>
      <c r="I97" s="2" t="s">
        <v>395</v>
      </c>
    </row>
    <row r="98" spans="1:9" x14ac:dyDescent="0.3">
      <c r="A98" s="1" t="s">
        <v>396</v>
      </c>
      <c r="B98" s="2" t="s">
        <v>202</v>
      </c>
      <c r="C98" s="2" t="s">
        <v>397</v>
      </c>
      <c r="D98" s="2" t="s">
        <v>12</v>
      </c>
      <c r="E98" s="2" t="s">
        <v>12</v>
      </c>
      <c r="F98" s="2" t="s">
        <v>12</v>
      </c>
      <c r="G98" s="2" t="s">
        <v>12</v>
      </c>
      <c r="H98" s="2" t="s">
        <v>398</v>
      </c>
      <c r="I98" s="2" t="s">
        <v>399</v>
      </c>
    </row>
    <row r="99" spans="1:9" x14ac:dyDescent="0.3">
      <c r="A99" s="1" t="s">
        <v>400</v>
      </c>
      <c r="B99" s="2" t="s">
        <v>401</v>
      </c>
      <c r="C99" s="2" t="s">
        <v>402</v>
      </c>
      <c r="D99" s="2" t="s">
        <v>12</v>
      </c>
      <c r="E99" s="2" t="s">
        <v>403</v>
      </c>
      <c r="F99" s="2" t="s">
        <v>12</v>
      </c>
      <c r="G99" s="2" t="s">
        <v>12</v>
      </c>
      <c r="H99" s="2" t="s">
        <v>12</v>
      </c>
      <c r="I99" s="2" t="s">
        <v>404</v>
      </c>
    </row>
    <row r="100" spans="1:9" x14ac:dyDescent="0.3">
      <c r="A100" s="1" t="s">
        <v>405</v>
      </c>
      <c r="B100" s="2" t="s">
        <v>232</v>
      </c>
      <c r="C100" s="2" t="s">
        <v>240</v>
      </c>
      <c r="D100" s="2" t="s">
        <v>12</v>
      </c>
      <c r="E100" s="2" t="s">
        <v>12</v>
      </c>
      <c r="F100" s="2" t="s">
        <v>12</v>
      </c>
      <c r="G100" s="2" t="s">
        <v>12</v>
      </c>
      <c r="H100" s="2" t="s">
        <v>12</v>
      </c>
      <c r="I100" s="2" t="s">
        <v>406</v>
      </c>
    </row>
    <row r="101" spans="1:9" x14ac:dyDescent="0.3">
      <c r="A101" s="1" t="s">
        <v>407</v>
      </c>
      <c r="B101" s="2" t="s">
        <v>408</v>
      </c>
      <c r="C101" s="2" t="s">
        <v>409</v>
      </c>
      <c r="D101" s="2" t="s">
        <v>12</v>
      </c>
      <c r="E101" s="2" t="s">
        <v>12</v>
      </c>
      <c r="F101" s="2" t="s">
        <v>12</v>
      </c>
      <c r="G101" s="2" t="s">
        <v>12</v>
      </c>
      <c r="H101" s="2" t="s">
        <v>12</v>
      </c>
      <c r="I101" s="2" t="s">
        <v>207</v>
      </c>
    </row>
    <row r="102" spans="1:9" x14ac:dyDescent="0.3">
      <c r="A102" s="1" t="s">
        <v>410</v>
      </c>
      <c r="B102" s="2" t="s">
        <v>411</v>
      </c>
      <c r="C102" s="2" t="s">
        <v>412</v>
      </c>
      <c r="D102" s="2" t="s">
        <v>12</v>
      </c>
      <c r="E102" s="2" t="s">
        <v>413</v>
      </c>
      <c r="F102" s="2" t="s">
        <v>12</v>
      </c>
      <c r="G102" s="2" t="s">
        <v>12</v>
      </c>
      <c r="H102" s="2" t="s">
        <v>414</v>
      </c>
      <c r="I102" s="2" t="s">
        <v>41</v>
      </c>
    </row>
    <row r="103" spans="1:9" x14ac:dyDescent="0.3">
      <c r="A103" s="1" t="s">
        <v>415</v>
      </c>
      <c r="B103" s="2" t="s">
        <v>125</v>
      </c>
      <c r="C103" s="2" t="s">
        <v>393</v>
      </c>
      <c r="D103" s="2" t="s">
        <v>12</v>
      </c>
      <c r="E103" s="2" t="s">
        <v>12</v>
      </c>
      <c r="F103" s="2" t="s">
        <v>12</v>
      </c>
      <c r="G103" s="2" t="s">
        <v>12</v>
      </c>
      <c r="H103" s="2" t="s">
        <v>416</v>
      </c>
      <c r="I103" s="2" t="s">
        <v>417</v>
      </c>
    </row>
    <row r="104" spans="1:9" x14ac:dyDescent="0.3">
      <c r="A104" s="1" t="s">
        <v>418</v>
      </c>
      <c r="B104" s="2" t="s">
        <v>419</v>
      </c>
      <c r="C104" s="2" t="s">
        <v>420</v>
      </c>
      <c r="D104" s="2" t="s">
        <v>12</v>
      </c>
      <c r="E104" s="2" t="s">
        <v>12</v>
      </c>
      <c r="F104" s="2" t="s">
        <v>12</v>
      </c>
      <c r="G104" s="2" t="s">
        <v>12</v>
      </c>
      <c r="H104" s="2" t="s">
        <v>421</v>
      </c>
      <c r="I104" s="2" t="s">
        <v>422</v>
      </c>
    </row>
    <row r="105" spans="1:9" x14ac:dyDescent="0.3">
      <c r="A105" s="1" t="s">
        <v>423</v>
      </c>
      <c r="B105" s="2" t="s">
        <v>424</v>
      </c>
      <c r="C105" s="2" t="s">
        <v>109</v>
      </c>
      <c r="D105" s="2" t="s">
        <v>425</v>
      </c>
      <c r="E105" s="2" t="s">
        <v>12</v>
      </c>
      <c r="F105" s="2" t="s">
        <v>426</v>
      </c>
      <c r="G105" s="2" t="s">
        <v>12</v>
      </c>
      <c r="H105" s="2" t="s">
        <v>427</v>
      </c>
      <c r="I105" s="2" t="s">
        <v>428</v>
      </c>
    </row>
    <row r="106" spans="1:9" x14ac:dyDescent="0.3">
      <c r="A106" s="1" t="s">
        <v>429</v>
      </c>
      <c r="B106" s="2" t="s">
        <v>430</v>
      </c>
      <c r="C106" s="2" t="s">
        <v>431</v>
      </c>
      <c r="D106" s="2" t="s">
        <v>12</v>
      </c>
      <c r="E106" s="2" t="s">
        <v>12</v>
      </c>
      <c r="F106" s="2" t="s">
        <v>12</v>
      </c>
      <c r="G106" s="2" t="s">
        <v>12</v>
      </c>
      <c r="H106" s="2" t="s">
        <v>12</v>
      </c>
      <c r="I106" s="2" t="s">
        <v>432</v>
      </c>
    </row>
    <row r="107" spans="1:9" x14ac:dyDescent="0.3">
      <c r="A107" s="1" t="s">
        <v>433</v>
      </c>
      <c r="B107" s="2" t="s">
        <v>225</v>
      </c>
      <c r="C107" s="2" t="s">
        <v>434</v>
      </c>
      <c r="D107" s="2" t="s">
        <v>12</v>
      </c>
      <c r="E107" s="2" t="s">
        <v>12</v>
      </c>
      <c r="F107" s="2" t="s">
        <v>12</v>
      </c>
      <c r="G107" s="2" t="s">
        <v>12</v>
      </c>
      <c r="H107" s="2" t="s">
        <v>435</v>
      </c>
      <c r="I107" s="2" t="s">
        <v>436</v>
      </c>
    </row>
    <row r="108" spans="1:9" x14ac:dyDescent="0.3">
      <c r="A108" s="1" t="s">
        <v>437</v>
      </c>
      <c r="B108" s="2" t="s">
        <v>174</v>
      </c>
      <c r="C108" s="2" t="s">
        <v>151</v>
      </c>
      <c r="D108" s="2" t="s">
        <v>438</v>
      </c>
      <c r="E108" s="2" t="s">
        <v>12</v>
      </c>
      <c r="F108" s="2" t="s">
        <v>12</v>
      </c>
      <c r="G108" s="2" t="s">
        <v>12</v>
      </c>
      <c r="H108" s="2" t="s">
        <v>12</v>
      </c>
      <c r="I108" s="2" t="s">
        <v>439</v>
      </c>
    </row>
    <row r="109" spans="1:9" x14ac:dyDescent="0.3">
      <c r="A109" s="1" t="s">
        <v>440</v>
      </c>
      <c r="B109" s="2" t="s">
        <v>441</v>
      </c>
      <c r="C109" s="2" t="s">
        <v>442</v>
      </c>
      <c r="D109" s="2" t="s">
        <v>12</v>
      </c>
      <c r="E109" s="2" t="s">
        <v>12</v>
      </c>
      <c r="F109" s="2" t="s">
        <v>12</v>
      </c>
      <c r="G109" s="2" t="s">
        <v>12</v>
      </c>
      <c r="H109" s="2" t="s">
        <v>12</v>
      </c>
      <c r="I109" s="2" t="s">
        <v>443</v>
      </c>
    </row>
    <row r="110" spans="1:9" x14ac:dyDescent="0.3">
      <c r="A110" s="1" t="s">
        <v>444</v>
      </c>
      <c r="B110" s="2" t="s">
        <v>82</v>
      </c>
      <c r="C110" s="2" t="s">
        <v>126</v>
      </c>
      <c r="D110" s="2" t="s">
        <v>12</v>
      </c>
      <c r="E110" s="2" t="s">
        <v>12</v>
      </c>
      <c r="F110" s="2" t="s">
        <v>12</v>
      </c>
      <c r="G110" s="2" t="s">
        <v>12</v>
      </c>
      <c r="H110" s="2" t="s">
        <v>12</v>
      </c>
      <c r="I110" s="2" t="s">
        <v>445</v>
      </c>
    </row>
    <row r="111" spans="1:9" x14ac:dyDescent="0.3">
      <c r="A111" s="1" t="s">
        <v>446</v>
      </c>
      <c r="B111" s="2" t="s">
        <v>447</v>
      </c>
      <c r="C111" s="2" t="s">
        <v>448</v>
      </c>
      <c r="D111" s="2" t="s">
        <v>12</v>
      </c>
      <c r="E111" s="2" t="s">
        <v>12</v>
      </c>
      <c r="F111" s="2" t="s">
        <v>12</v>
      </c>
      <c r="G111" s="2" t="s">
        <v>12</v>
      </c>
      <c r="H111" s="2" t="s">
        <v>12</v>
      </c>
      <c r="I111" s="2" t="s">
        <v>449</v>
      </c>
    </row>
    <row r="112" spans="1:9" x14ac:dyDescent="0.3">
      <c r="A112" s="1" t="s">
        <v>450</v>
      </c>
      <c r="B112" s="2" t="s">
        <v>19</v>
      </c>
      <c r="C112" s="2" t="s">
        <v>451</v>
      </c>
      <c r="D112" s="2" t="s">
        <v>12</v>
      </c>
      <c r="E112" s="2" t="s">
        <v>12</v>
      </c>
      <c r="F112" s="2" t="s">
        <v>12</v>
      </c>
      <c r="G112" s="2" t="s">
        <v>12</v>
      </c>
      <c r="H112" s="2" t="s">
        <v>452</v>
      </c>
      <c r="I112" s="2" t="s">
        <v>453</v>
      </c>
    </row>
    <row r="113" spans="1:9" x14ac:dyDescent="0.3">
      <c r="A113" s="1" t="s">
        <v>454</v>
      </c>
      <c r="B113" s="2" t="s">
        <v>455</v>
      </c>
      <c r="C113" s="2" t="s">
        <v>29</v>
      </c>
      <c r="D113" s="2" t="s">
        <v>12</v>
      </c>
      <c r="E113" s="2" t="s">
        <v>12</v>
      </c>
      <c r="F113" s="2" t="s">
        <v>12</v>
      </c>
      <c r="G113" s="2" t="s">
        <v>12</v>
      </c>
      <c r="H113" s="2" t="s">
        <v>12</v>
      </c>
      <c r="I113" s="2" t="s">
        <v>456</v>
      </c>
    </row>
    <row r="114" spans="1:9" x14ac:dyDescent="0.3">
      <c r="A114" s="1" t="s">
        <v>457</v>
      </c>
      <c r="B114" s="2" t="s">
        <v>458</v>
      </c>
      <c r="C114" s="2" t="s">
        <v>459</v>
      </c>
      <c r="D114" s="2" t="s">
        <v>12</v>
      </c>
      <c r="E114" s="2" t="s">
        <v>12</v>
      </c>
      <c r="F114" s="2" t="s">
        <v>12</v>
      </c>
      <c r="G114" s="2" t="s">
        <v>12</v>
      </c>
      <c r="H114" s="2" t="s">
        <v>12</v>
      </c>
      <c r="I114" s="2" t="s">
        <v>460</v>
      </c>
    </row>
    <row r="115" spans="1:9" x14ac:dyDescent="0.3">
      <c r="A115" s="1" t="s">
        <v>461</v>
      </c>
      <c r="B115" s="2" t="s">
        <v>361</v>
      </c>
      <c r="C115" s="2" t="s">
        <v>264</v>
      </c>
      <c r="D115" s="2" t="s">
        <v>12</v>
      </c>
      <c r="E115" s="2" t="s">
        <v>12</v>
      </c>
      <c r="F115" s="2" t="s">
        <v>12</v>
      </c>
      <c r="G115" s="2" t="s">
        <v>376</v>
      </c>
      <c r="H115" s="2" t="s">
        <v>462</v>
      </c>
      <c r="I115" s="2" t="s">
        <v>463</v>
      </c>
    </row>
    <row r="116" spans="1:9" x14ac:dyDescent="0.3">
      <c r="A116" s="1" t="s">
        <v>464</v>
      </c>
      <c r="B116" s="2" t="s">
        <v>202</v>
      </c>
      <c r="C116" s="2" t="s">
        <v>271</v>
      </c>
      <c r="D116" s="2" t="s">
        <v>12</v>
      </c>
      <c r="E116" s="2" t="s">
        <v>12</v>
      </c>
      <c r="F116" s="2" t="s">
        <v>12</v>
      </c>
      <c r="G116" s="2" t="s">
        <v>12</v>
      </c>
      <c r="H116" s="2" t="s">
        <v>12</v>
      </c>
      <c r="I116" s="2" t="s">
        <v>465</v>
      </c>
    </row>
    <row r="117" spans="1:9" x14ac:dyDescent="0.3">
      <c r="A117" s="1" t="s">
        <v>466</v>
      </c>
      <c r="B117" s="2" t="s">
        <v>467</v>
      </c>
      <c r="C117" s="2" t="s">
        <v>338</v>
      </c>
      <c r="D117" s="2" t="s">
        <v>12</v>
      </c>
      <c r="E117" s="2" t="s">
        <v>12</v>
      </c>
      <c r="F117" s="2" t="s">
        <v>12</v>
      </c>
      <c r="G117" s="2" t="s">
        <v>12</v>
      </c>
      <c r="H117" s="2" t="s">
        <v>12</v>
      </c>
      <c r="I117" s="2" t="s">
        <v>26</v>
      </c>
    </row>
    <row r="118" spans="1:9" x14ac:dyDescent="0.3">
      <c r="A118" s="1" t="s">
        <v>468</v>
      </c>
      <c r="B118" s="2" t="s">
        <v>469</v>
      </c>
      <c r="C118" s="2" t="s">
        <v>470</v>
      </c>
      <c r="D118" s="2" t="s">
        <v>12</v>
      </c>
      <c r="E118" s="2" t="s">
        <v>12</v>
      </c>
      <c r="F118" s="2" t="s">
        <v>12</v>
      </c>
      <c r="G118" s="2" t="s">
        <v>12</v>
      </c>
      <c r="H118" s="2" t="s">
        <v>12</v>
      </c>
      <c r="I118" s="2" t="s">
        <v>471</v>
      </c>
    </row>
    <row r="119" spans="1:9" x14ac:dyDescent="0.3">
      <c r="A119" s="1" t="s">
        <v>472</v>
      </c>
      <c r="B119" s="2" t="s">
        <v>473</v>
      </c>
      <c r="C119" s="2" t="s">
        <v>271</v>
      </c>
      <c r="D119" s="2" t="s">
        <v>12</v>
      </c>
      <c r="E119" s="2" t="s">
        <v>12</v>
      </c>
      <c r="F119" s="2" t="s">
        <v>12</v>
      </c>
      <c r="G119" s="2" t="s">
        <v>12</v>
      </c>
      <c r="H119" s="2" t="s">
        <v>474</v>
      </c>
      <c r="I119" s="2" t="s">
        <v>475</v>
      </c>
    </row>
    <row r="120" spans="1:9" x14ac:dyDescent="0.3">
      <c r="A120" s="1" t="s">
        <v>476</v>
      </c>
      <c r="B120" s="2" t="s">
        <v>477</v>
      </c>
      <c r="C120" s="2" t="s">
        <v>478</v>
      </c>
      <c r="D120" s="2" t="s">
        <v>12</v>
      </c>
      <c r="E120" s="2" t="s">
        <v>12</v>
      </c>
      <c r="F120" s="2" t="s">
        <v>12</v>
      </c>
      <c r="G120" s="2" t="s">
        <v>12</v>
      </c>
      <c r="H120" s="2" t="s">
        <v>479</v>
      </c>
      <c r="I120" s="2" t="s">
        <v>480</v>
      </c>
    </row>
    <row r="121" spans="1:9" x14ac:dyDescent="0.3">
      <c r="A121" s="1" t="s">
        <v>481</v>
      </c>
      <c r="B121" s="2" t="s">
        <v>482</v>
      </c>
      <c r="C121" s="2" t="s">
        <v>155</v>
      </c>
      <c r="D121" s="2" t="s">
        <v>12</v>
      </c>
      <c r="E121" s="2" t="s">
        <v>12</v>
      </c>
      <c r="F121" s="2" t="s">
        <v>12</v>
      </c>
      <c r="G121" s="2" t="s">
        <v>12</v>
      </c>
      <c r="H121" s="2" t="s">
        <v>12</v>
      </c>
      <c r="I121" s="2" t="s">
        <v>483</v>
      </c>
    </row>
    <row r="122" spans="1:9" x14ac:dyDescent="0.3">
      <c r="A122" s="1" t="s">
        <v>484</v>
      </c>
      <c r="B122" s="2" t="s">
        <v>346</v>
      </c>
      <c r="C122" s="2" t="s">
        <v>485</v>
      </c>
      <c r="D122" s="2" t="s">
        <v>12</v>
      </c>
      <c r="E122" s="2" t="s">
        <v>12</v>
      </c>
      <c r="F122" s="2" t="s">
        <v>486</v>
      </c>
      <c r="G122" s="2" t="s">
        <v>12</v>
      </c>
      <c r="H122" s="2" t="s">
        <v>12</v>
      </c>
      <c r="I122" s="2" t="s">
        <v>487</v>
      </c>
    </row>
    <row r="123" spans="1:9" x14ac:dyDescent="0.3">
      <c r="A123" s="1" t="s">
        <v>488</v>
      </c>
      <c r="B123" s="2" t="s">
        <v>489</v>
      </c>
      <c r="C123" s="2" t="s">
        <v>490</v>
      </c>
      <c r="D123" s="2" t="s">
        <v>491</v>
      </c>
      <c r="E123" s="2" t="s">
        <v>12</v>
      </c>
      <c r="F123" s="2" t="s">
        <v>12</v>
      </c>
      <c r="G123" s="2" t="s">
        <v>12</v>
      </c>
      <c r="H123" s="2" t="s">
        <v>492</v>
      </c>
      <c r="I123" s="2" t="s">
        <v>493</v>
      </c>
    </row>
    <row r="124" spans="1:9" x14ac:dyDescent="0.3">
      <c r="A124" s="1" t="s">
        <v>494</v>
      </c>
      <c r="B124" s="2" t="s">
        <v>489</v>
      </c>
      <c r="C124" s="2" t="s">
        <v>130</v>
      </c>
      <c r="D124" s="2" t="s">
        <v>12</v>
      </c>
      <c r="E124" s="2" t="s">
        <v>12</v>
      </c>
      <c r="F124" s="2" t="s">
        <v>12</v>
      </c>
      <c r="G124" s="2" t="s">
        <v>12</v>
      </c>
      <c r="H124" s="2" t="s">
        <v>12</v>
      </c>
      <c r="I124" s="2" t="s">
        <v>17</v>
      </c>
    </row>
    <row r="125" spans="1:9" x14ac:dyDescent="0.3">
      <c r="A125" s="1" t="s">
        <v>495</v>
      </c>
      <c r="B125" s="2" t="s">
        <v>496</v>
      </c>
      <c r="C125" s="2" t="s">
        <v>78</v>
      </c>
      <c r="D125" s="2" t="s">
        <v>12</v>
      </c>
      <c r="E125" s="2" t="s">
        <v>12</v>
      </c>
      <c r="F125" s="2" t="s">
        <v>12</v>
      </c>
      <c r="G125" s="2" t="s">
        <v>12</v>
      </c>
      <c r="H125" s="2" t="s">
        <v>12</v>
      </c>
      <c r="I125" s="2" t="s">
        <v>497</v>
      </c>
    </row>
    <row r="126" spans="1:9" x14ac:dyDescent="0.3">
      <c r="A126" s="1" t="s">
        <v>498</v>
      </c>
      <c r="B126" s="2" t="s">
        <v>499</v>
      </c>
      <c r="C126" s="2" t="s">
        <v>500</v>
      </c>
      <c r="D126" s="2" t="s">
        <v>12</v>
      </c>
      <c r="E126" s="2" t="s">
        <v>12</v>
      </c>
      <c r="F126" s="2" t="s">
        <v>12</v>
      </c>
      <c r="G126" s="2" t="s">
        <v>12</v>
      </c>
      <c r="H126" s="2" t="s">
        <v>126</v>
      </c>
      <c r="I126" s="2" t="s">
        <v>501</v>
      </c>
    </row>
    <row r="127" spans="1:9" x14ac:dyDescent="0.3">
      <c r="A127" s="1" t="s">
        <v>502</v>
      </c>
      <c r="B127" s="2" t="s">
        <v>503</v>
      </c>
      <c r="C127" s="2" t="s">
        <v>504</v>
      </c>
      <c r="D127" s="2" t="s">
        <v>12</v>
      </c>
      <c r="E127" s="2" t="s">
        <v>12</v>
      </c>
      <c r="F127" s="2" t="s">
        <v>505</v>
      </c>
      <c r="G127" s="2" t="s">
        <v>12</v>
      </c>
      <c r="H127" s="2" t="s">
        <v>12</v>
      </c>
      <c r="I127" s="2" t="s">
        <v>506</v>
      </c>
    </row>
    <row r="128" spans="1:9" x14ac:dyDescent="0.3">
      <c r="A128" s="1" t="s">
        <v>507</v>
      </c>
      <c r="B128" s="2" t="s">
        <v>489</v>
      </c>
      <c r="C128" s="2" t="s">
        <v>508</v>
      </c>
      <c r="D128" s="2" t="s">
        <v>12</v>
      </c>
      <c r="E128" s="2" t="s">
        <v>509</v>
      </c>
      <c r="F128" s="2" t="s">
        <v>12</v>
      </c>
      <c r="G128" s="2" t="s">
        <v>12</v>
      </c>
      <c r="H128" s="2" t="s">
        <v>12</v>
      </c>
      <c r="I128" s="2" t="s">
        <v>510</v>
      </c>
    </row>
    <row r="129" spans="1:9" x14ac:dyDescent="0.3">
      <c r="A129" s="1" t="s">
        <v>511</v>
      </c>
      <c r="B129" s="2" t="s">
        <v>162</v>
      </c>
      <c r="C129" s="2" t="s">
        <v>512</v>
      </c>
      <c r="D129" s="2" t="s">
        <v>12</v>
      </c>
      <c r="E129" s="2" t="s">
        <v>12</v>
      </c>
      <c r="F129" s="2" t="s">
        <v>12</v>
      </c>
      <c r="G129" s="2" t="s">
        <v>513</v>
      </c>
      <c r="H129" s="2" t="s">
        <v>12</v>
      </c>
      <c r="I129" s="2" t="s">
        <v>514</v>
      </c>
    </row>
    <row r="130" spans="1:9" x14ac:dyDescent="0.3">
      <c r="A130" s="1" t="s">
        <v>515</v>
      </c>
      <c r="B130" s="2" t="s">
        <v>118</v>
      </c>
      <c r="C130" s="2" t="s">
        <v>516</v>
      </c>
      <c r="D130" s="2" t="s">
        <v>12</v>
      </c>
      <c r="E130" s="2" t="s">
        <v>517</v>
      </c>
      <c r="F130" s="2" t="s">
        <v>518</v>
      </c>
      <c r="G130" s="2" t="s">
        <v>12</v>
      </c>
      <c r="H130" s="2" t="s">
        <v>12</v>
      </c>
      <c r="I130" s="2" t="s">
        <v>519</v>
      </c>
    </row>
    <row r="131" spans="1:9" x14ac:dyDescent="0.3">
      <c r="A131" s="1" t="s">
        <v>520</v>
      </c>
      <c r="B131" s="2" t="s">
        <v>19</v>
      </c>
      <c r="C131" s="2" t="s">
        <v>521</v>
      </c>
      <c r="D131" s="2" t="s">
        <v>12</v>
      </c>
      <c r="E131" s="2" t="s">
        <v>12</v>
      </c>
      <c r="F131" s="2" t="s">
        <v>12</v>
      </c>
      <c r="G131" s="2" t="s">
        <v>12</v>
      </c>
      <c r="H131" s="2" t="s">
        <v>12</v>
      </c>
      <c r="I131" s="2" t="s">
        <v>522</v>
      </c>
    </row>
    <row r="132" spans="1:9" x14ac:dyDescent="0.3">
      <c r="A132" s="1" t="s">
        <v>523</v>
      </c>
      <c r="B132" s="2" t="s">
        <v>168</v>
      </c>
      <c r="C132" s="2" t="s">
        <v>512</v>
      </c>
      <c r="D132" s="2" t="s">
        <v>12</v>
      </c>
      <c r="E132" s="2" t="s">
        <v>12</v>
      </c>
      <c r="F132" s="2" t="s">
        <v>12</v>
      </c>
      <c r="G132" s="2" t="s">
        <v>12</v>
      </c>
      <c r="H132" s="2" t="s">
        <v>524</v>
      </c>
      <c r="I132" s="2" t="s">
        <v>525</v>
      </c>
    </row>
    <row r="133" spans="1:9" x14ac:dyDescent="0.3">
      <c r="A133" s="1" t="s">
        <v>526</v>
      </c>
      <c r="B133" s="2" t="s">
        <v>59</v>
      </c>
      <c r="C133" s="2" t="s">
        <v>527</v>
      </c>
      <c r="D133" s="2" t="s">
        <v>12</v>
      </c>
      <c r="E133" s="2" t="s">
        <v>12</v>
      </c>
      <c r="F133" s="2" t="s">
        <v>12</v>
      </c>
      <c r="G133" s="2" t="s">
        <v>12</v>
      </c>
      <c r="H133" s="2" t="s">
        <v>528</v>
      </c>
      <c r="I133" s="2" t="s">
        <v>529</v>
      </c>
    </row>
    <row r="134" spans="1:9" x14ac:dyDescent="0.3">
      <c r="A134" s="1" t="s">
        <v>530</v>
      </c>
      <c r="B134" s="2" t="s">
        <v>531</v>
      </c>
      <c r="C134" s="2" t="s">
        <v>532</v>
      </c>
      <c r="D134" s="2" t="s">
        <v>12</v>
      </c>
      <c r="E134" s="2" t="s">
        <v>12</v>
      </c>
      <c r="F134" s="2" t="s">
        <v>12</v>
      </c>
      <c r="G134" s="2" t="s">
        <v>12</v>
      </c>
      <c r="H134" s="2" t="s">
        <v>12</v>
      </c>
      <c r="I134" s="2" t="s">
        <v>533</v>
      </c>
    </row>
    <row r="135" spans="1:9" x14ac:dyDescent="0.3">
      <c r="A135" s="1" t="s">
        <v>534</v>
      </c>
      <c r="B135" s="2" t="s">
        <v>535</v>
      </c>
      <c r="C135" s="2" t="s">
        <v>536</v>
      </c>
      <c r="D135" s="2" t="s">
        <v>376</v>
      </c>
      <c r="E135" s="2" t="s">
        <v>12</v>
      </c>
      <c r="F135" s="2" t="s">
        <v>12</v>
      </c>
      <c r="G135" s="2" t="s">
        <v>537</v>
      </c>
      <c r="H135" s="2" t="s">
        <v>538</v>
      </c>
      <c r="I135" s="2" t="s">
        <v>539</v>
      </c>
    </row>
    <row r="136" spans="1:9" x14ac:dyDescent="0.3">
      <c r="A136" s="1" t="s">
        <v>540</v>
      </c>
      <c r="B136" s="2" t="s">
        <v>541</v>
      </c>
      <c r="C136" s="2" t="s">
        <v>280</v>
      </c>
      <c r="D136" s="2" t="s">
        <v>542</v>
      </c>
      <c r="E136" s="2" t="s">
        <v>12</v>
      </c>
      <c r="F136" s="2" t="s">
        <v>12</v>
      </c>
      <c r="G136" s="2" t="s">
        <v>12</v>
      </c>
      <c r="H136" s="2" t="s">
        <v>12</v>
      </c>
      <c r="I136" s="2" t="s">
        <v>543</v>
      </c>
    </row>
    <row r="137" spans="1:9" x14ac:dyDescent="0.3">
      <c r="A137" s="1" t="s">
        <v>544</v>
      </c>
      <c r="B137" s="2" t="s">
        <v>545</v>
      </c>
      <c r="C137" s="2" t="s">
        <v>546</v>
      </c>
      <c r="D137" s="2" t="s">
        <v>12</v>
      </c>
      <c r="E137" s="2" t="s">
        <v>547</v>
      </c>
      <c r="F137" s="2" t="s">
        <v>12</v>
      </c>
      <c r="G137" s="2" t="s">
        <v>12</v>
      </c>
      <c r="H137" s="2" t="s">
        <v>12</v>
      </c>
      <c r="I137" s="2" t="s">
        <v>548</v>
      </c>
    </row>
    <row r="138" spans="1:9" x14ac:dyDescent="0.3">
      <c r="A138" s="1" t="s">
        <v>549</v>
      </c>
      <c r="B138" s="2" t="s">
        <v>550</v>
      </c>
      <c r="C138" s="2" t="s">
        <v>551</v>
      </c>
      <c r="D138" s="2" t="s">
        <v>12</v>
      </c>
      <c r="E138" s="2" t="s">
        <v>12</v>
      </c>
      <c r="F138" s="2" t="s">
        <v>12</v>
      </c>
      <c r="G138" s="2" t="s">
        <v>12</v>
      </c>
      <c r="H138" s="2" t="s">
        <v>12</v>
      </c>
      <c r="I138" s="2" t="s">
        <v>552</v>
      </c>
    </row>
    <row r="139" spans="1:9" x14ac:dyDescent="0.3">
      <c r="A139" s="1" t="s">
        <v>553</v>
      </c>
      <c r="B139" s="2" t="s">
        <v>12</v>
      </c>
      <c r="C139" s="2" t="s">
        <v>554</v>
      </c>
      <c r="D139" s="2" t="s">
        <v>12</v>
      </c>
      <c r="E139" s="2" t="s">
        <v>12</v>
      </c>
      <c r="F139" s="2" t="s">
        <v>555</v>
      </c>
      <c r="G139" s="2" t="s">
        <v>12</v>
      </c>
      <c r="H139" s="2" t="s">
        <v>12</v>
      </c>
      <c r="I139" s="2" t="s">
        <v>556</v>
      </c>
    </row>
    <row r="140" spans="1:9" x14ac:dyDescent="0.3">
      <c r="A140" s="1" t="s">
        <v>557</v>
      </c>
      <c r="B140" s="2" t="s">
        <v>232</v>
      </c>
      <c r="C140" s="2" t="s">
        <v>500</v>
      </c>
      <c r="D140" s="2" t="s">
        <v>558</v>
      </c>
      <c r="E140" s="2" t="s">
        <v>12</v>
      </c>
      <c r="F140" s="2" t="s">
        <v>12</v>
      </c>
      <c r="G140" s="2" t="s">
        <v>12</v>
      </c>
      <c r="H140" s="2" t="s">
        <v>12</v>
      </c>
      <c r="I140" s="2" t="s">
        <v>559</v>
      </c>
    </row>
    <row r="141" spans="1:9" x14ac:dyDescent="0.3">
      <c r="A141" s="1" t="s">
        <v>560</v>
      </c>
      <c r="B141" s="2" t="s">
        <v>129</v>
      </c>
      <c r="C141" s="2" t="s">
        <v>211</v>
      </c>
      <c r="D141" s="2" t="s">
        <v>12</v>
      </c>
      <c r="E141" s="2" t="s">
        <v>12</v>
      </c>
      <c r="F141" s="2" t="s">
        <v>12</v>
      </c>
      <c r="G141" s="2" t="s">
        <v>12</v>
      </c>
      <c r="H141" s="2" t="s">
        <v>12</v>
      </c>
      <c r="I141" s="2" t="s">
        <v>561</v>
      </c>
    </row>
    <row r="142" spans="1:9" x14ac:dyDescent="0.3">
      <c r="A142" s="1" t="s">
        <v>562</v>
      </c>
      <c r="B142" s="2" t="s">
        <v>563</v>
      </c>
      <c r="C142" s="2" t="s">
        <v>564</v>
      </c>
      <c r="D142" s="2" t="s">
        <v>12</v>
      </c>
      <c r="E142" s="2" t="s">
        <v>565</v>
      </c>
      <c r="F142" s="2" t="s">
        <v>566</v>
      </c>
      <c r="G142" s="2" t="s">
        <v>12</v>
      </c>
      <c r="H142" s="2" t="s">
        <v>12</v>
      </c>
      <c r="I142" s="2" t="s">
        <v>567</v>
      </c>
    </row>
    <row r="143" spans="1:9" x14ac:dyDescent="0.3">
      <c r="A143" s="1" t="s">
        <v>568</v>
      </c>
      <c r="B143" s="2" t="s">
        <v>569</v>
      </c>
      <c r="C143" s="2" t="s">
        <v>248</v>
      </c>
      <c r="D143" s="2" t="s">
        <v>12</v>
      </c>
      <c r="E143" s="2" t="s">
        <v>12</v>
      </c>
      <c r="F143" s="2" t="s">
        <v>12</v>
      </c>
      <c r="G143" s="2" t="s">
        <v>12</v>
      </c>
      <c r="H143" s="2" t="s">
        <v>12</v>
      </c>
      <c r="I143" s="2" t="s">
        <v>221</v>
      </c>
    </row>
    <row r="144" spans="1:9" x14ac:dyDescent="0.3">
      <c r="A144" s="1" t="s">
        <v>570</v>
      </c>
      <c r="B144" s="2" t="s">
        <v>571</v>
      </c>
      <c r="C144" s="2" t="s">
        <v>572</v>
      </c>
      <c r="D144" s="2" t="s">
        <v>12</v>
      </c>
      <c r="E144" s="2" t="s">
        <v>12</v>
      </c>
      <c r="F144" s="2" t="s">
        <v>12</v>
      </c>
      <c r="G144" s="2" t="s">
        <v>12</v>
      </c>
      <c r="H144" s="2" t="s">
        <v>573</v>
      </c>
      <c r="I144" s="2" t="s">
        <v>574</v>
      </c>
    </row>
    <row r="145" spans="1:9" x14ac:dyDescent="0.3">
      <c r="A145" s="1" t="s">
        <v>575</v>
      </c>
      <c r="B145" s="2" t="s">
        <v>174</v>
      </c>
      <c r="C145" s="2" t="s">
        <v>576</v>
      </c>
      <c r="D145" s="2" t="s">
        <v>12</v>
      </c>
      <c r="E145" s="2" t="s">
        <v>12</v>
      </c>
      <c r="F145" s="2" t="s">
        <v>12</v>
      </c>
      <c r="G145" s="2" t="s">
        <v>12</v>
      </c>
      <c r="H145" s="2" t="s">
        <v>12</v>
      </c>
      <c r="I145" s="2" t="s">
        <v>370</v>
      </c>
    </row>
    <row r="146" spans="1:9" x14ac:dyDescent="0.3">
      <c r="A146" s="1" t="s">
        <v>577</v>
      </c>
      <c r="B146" s="2" t="s">
        <v>108</v>
      </c>
      <c r="C146" s="2" t="s">
        <v>578</v>
      </c>
      <c r="D146" s="2" t="s">
        <v>12</v>
      </c>
      <c r="E146" s="2" t="s">
        <v>12</v>
      </c>
      <c r="F146" s="2" t="s">
        <v>12</v>
      </c>
      <c r="G146" s="2" t="s">
        <v>12</v>
      </c>
      <c r="H146" s="2" t="s">
        <v>12</v>
      </c>
      <c r="I146" s="2" t="s">
        <v>579</v>
      </c>
    </row>
    <row r="147" spans="1:9" x14ac:dyDescent="0.3">
      <c r="A147" s="1" t="s">
        <v>580</v>
      </c>
      <c r="B147" s="2" t="s">
        <v>581</v>
      </c>
      <c r="C147" s="2" t="s">
        <v>582</v>
      </c>
      <c r="D147" s="2" t="s">
        <v>12</v>
      </c>
      <c r="E147" s="2" t="s">
        <v>583</v>
      </c>
      <c r="F147" s="2" t="s">
        <v>12</v>
      </c>
      <c r="G147" s="2" t="s">
        <v>12</v>
      </c>
      <c r="H147" s="2" t="s">
        <v>584</v>
      </c>
      <c r="I147" s="2" t="s">
        <v>585</v>
      </c>
    </row>
    <row r="148" spans="1:9" x14ac:dyDescent="0.3">
      <c r="A148" s="1" t="s">
        <v>586</v>
      </c>
      <c r="B148" s="2" t="s">
        <v>587</v>
      </c>
      <c r="C148" s="2" t="s">
        <v>588</v>
      </c>
      <c r="D148" s="2" t="s">
        <v>12</v>
      </c>
      <c r="E148" s="2" t="s">
        <v>12</v>
      </c>
      <c r="F148" s="2" t="s">
        <v>12</v>
      </c>
      <c r="G148" s="2" t="s">
        <v>12</v>
      </c>
      <c r="H148" s="2" t="s">
        <v>12</v>
      </c>
      <c r="I148" s="2" t="s">
        <v>589</v>
      </c>
    </row>
    <row r="149" spans="1:9" x14ac:dyDescent="0.3">
      <c r="A149" s="1" t="s">
        <v>590</v>
      </c>
      <c r="B149" s="2" t="s">
        <v>12</v>
      </c>
      <c r="C149" s="2" t="s">
        <v>591</v>
      </c>
      <c r="D149" s="2" t="s">
        <v>12</v>
      </c>
      <c r="E149" s="2" t="s">
        <v>12</v>
      </c>
      <c r="F149" s="2" t="s">
        <v>12</v>
      </c>
      <c r="G149" s="2" t="s">
        <v>12</v>
      </c>
      <c r="H149" s="2" t="s">
        <v>12</v>
      </c>
      <c r="I149" s="2" t="s">
        <v>375</v>
      </c>
    </row>
    <row r="150" spans="1:9" x14ac:dyDescent="0.3">
      <c r="A150" s="1" t="s">
        <v>592</v>
      </c>
      <c r="B150" s="2" t="s">
        <v>593</v>
      </c>
      <c r="C150" s="2" t="s">
        <v>594</v>
      </c>
      <c r="D150" s="2" t="s">
        <v>595</v>
      </c>
      <c r="E150" s="2" t="s">
        <v>12</v>
      </c>
      <c r="F150" s="2" t="s">
        <v>12</v>
      </c>
      <c r="G150" s="2" t="s">
        <v>12</v>
      </c>
      <c r="H150" s="2" t="s">
        <v>12</v>
      </c>
      <c r="I150" s="2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801CD-BF23-4C6C-807A-2258C1F4149D}">
  <sheetPr codeName="Sheet2"/>
  <dimension ref="A1:Q150"/>
  <sheetViews>
    <sheetView workbookViewId="0">
      <selection sqref="A1:Q1048576"/>
    </sheetView>
  </sheetViews>
  <sheetFormatPr defaultRowHeight="14.4" x14ac:dyDescent="0.3"/>
  <cols>
    <col min="1" max="1" width="31.44140625" bestFit="1" customWidth="1"/>
    <col min="2" max="2" width="19.77734375" customWidth="1"/>
    <col min="3" max="3" width="13.77734375" customWidth="1"/>
    <col min="4" max="4" width="15.77734375" customWidth="1"/>
    <col min="5" max="5" width="14.21875" customWidth="1"/>
    <col min="6" max="6" width="11.21875" customWidth="1"/>
    <col min="7" max="7" width="10.6640625" customWidth="1"/>
    <col min="8" max="8" width="13.6640625" customWidth="1"/>
    <col min="9" max="9" width="12.44140625" customWidth="1"/>
    <col min="10" max="10" width="20.5546875" customWidth="1"/>
    <col min="11" max="11" width="12" customWidth="1"/>
    <col min="12" max="12" width="13.5546875" customWidth="1"/>
    <col min="13" max="13" width="12.44140625" customWidth="1"/>
  </cols>
  <sheetData>
    <row r="1" spans="1:17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1" t="s">
        <v>9</v>
      </c>
      <c r="B2" s="2" t="s">
        <v>612</v>
      </c>
      <c r="C2" s="2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1" t="s">
        <v>14</v>
      </c>
      <c r="B3" s="2" t="s">
        <v>614</v>
      </c>
      <c r="C3" s="2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1" t="s">
        <v>18</v>
      </c>
      <c r="B4" s="2" t="s">
        <v>616</v>
      </c>
      <c r="C4" s="2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1" t="s">
        <v>23</v>
      </c>
      <c r="B5" s="2" t="s">
        <v>618</v>
      </c>
      <c r="C5" s="2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1" t="s">
        <v>28</v>
      </c>
      <c r="B6" s="2" t="s">
        <v>620</v>
      </c>
      <c r="C6" s="2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1" t="s">
        <v>33</v>
      </c>
      <c r="B7" s="2" t="s">
        <v>622</v>
      </c>
      <c r="C7" s="2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1" t="s">
        <v>37</v>
      </c>
      <c r="B8" s="2" t="s">
        <v>624</v>
      </c>
      <c r="C8" s="2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1" t="s">
        <v>42</v>
      </c>
      <c r="B9" s="2" t="s">
        <v>626</v>
      </c>
      <c r="C9" s="2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1" t="s">
        <v>46</v>
      </c>
      <c r="B10" s="2" t="s">
        <v>628</v>
      </c>
      <c r="C10" s="2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1" t="s">
        <v>50</v>
      </c>
      <c r="B11" s="2" t="s">
        <v>630</v>
      </c>
      <c r="C11" s="2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1" t="s">
        <v>54</v>
      </c>
      <c r="B12" s="2" t="s">
        <v>632</v>
      </c>
      <c r="C12" s="2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1" t="s">
        <v>58</v>
      </c>
      <c r="B13" s="2" t="s">
        <v>634</v>
      </c>
      <c r="C13" s="2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1" t="s">
        <v>63</v>
      </c>
      <c r="B14" s="2" t="s">
        <v>636</v>
      </c>
      <c r="C14" s="2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1" t="s">
        <v>68</v>
      </c>
      <c r="B15" s="2" t="s">
        <v>638</v>
      </c>
      <c r="C15" s="2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1" t="s">
        <v>72</v>
      </c>
      <c r="B16" s="2" t="s">
        <v>640</v>
      </c>
      <c r="C16" s="2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1" t="s">
        <v>76</v>
      </c>
      <c r="B17" s="2" t="s">
        <v>642</v>
      </c>
      <c r="C17" s="2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1" t="s">
        <v>81</v>
      </c>
      <c r="B18" s="2" t="s">
        <v>644</v>
      </c>
      <c r="C18" s="2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1" t="s">
        <v>85</v>
      </c>
      <c r="B19" s="2" t="s">
        <v>646</v>
      </c>
      <c r="C19" s="2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1" t="s">
        <v>88</v>
      </c>
      <c r="B20" s="2" t="s">
        <v>647</v>
      </c>
      <c r="C20" s="2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1" t="s">
        <v>94</v>
      </c>
      <c r="B21" s="2" t="s">
        <v>649</v>
      </c>
      <c r="C21" s="2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1" t="s">
        <v>99</v>
      </c>
      <c r="B22" s="2" t="s">
        <v>651</v>
      </c>
      <c r="C22" s="2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1" t="s">
        <v>103</v>
      </c>
      <c r="B23" s="2" t="s">
        <v>653</v>
      </c>
      <c r="C23" s="2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1" t="s">
        <v>107</v>
      </c>
      <c r="B24" s="2" t="s">
        <v>655</v>
      </c>
      <c r="C24" s="2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1" t="s">
        <v>112</v>
      </c>
      <c r="B25" s="2" t="s">
        <v>657</v>
      </c>
      <c r="C25" s="2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1" t="s">
        <v>117</v>
      </c>
      <c r="B26" s="2" t="s">
        <v>659</v>
      </c>
      <c r="C26" s="2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1" t="s">
        <v>121</v>
      </c>
      <c r="B27" s="2" t="s">
        <v>661</v>
      </c>
      <c r="C27" s="2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1" t="s">
        <v>124</v>
      </c>
      <c r="B28" s="2" t="s">
        <v>640</v>
      </c>
      <c r="C28" s="2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1" t="s">
        <v>128</v>
      </c>
      <c r="B29" s="2" t="s">
        <v>664</v>
      </c>
      <c r="C29" s="2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1" t="s">
        <v>132</v>
      </c>
      <c r="B30" s="2" t="s">
        <v>666</v>
      </c>
      <c r="C30" s="2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1" t="s">
        <v>138</v>
      </c>
      <c r="B31" s="2" t="s">
        <v>668</v>
      </c>
      <c r="C31" s="2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1" t="s">
        <v>143</v>
      </c>
      <c r="B32" s="2" t="s">
        <v>670</v>
      </c>
      <c r="C32" s="2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1" t="s">
        <v>145</v>
      </c>
      <c r="B33" s="2" t="s">
        <v>672</v>
      </c>
      <c r="C33" s="2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1" t="s">
        <v>150</v>
      </c>
      <c r="B34" s="2" t="s">
        <v>674</v>
      </c>
      <c r="C34" s="2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1" t="s">
        <v>153</v>
      </c>
      <c r="B35" s="2" t="s">
        <v>676</v>
      </c>
      <c r="C35" s="2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1" t="s">
        <v>157</v>
      </c>
      <c r="B36" s="2" t="s">
        <v>678</v>
      </c>
      <c r="C36" s="2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1" t="s">
        <v>161</v>
      </c>
      <c r="B37" s="2" t="s">
        <v>680</v>
      </c>
      <c r="C37" s="2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1" t="s">
        <v>167</v>
      </c>
      <c r="B38" s="2" t="s">
        <v>682</v>
      </c>
      <c r="C38" s="2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1" t="s">
        <v>171</v>
      </c>
      <c r="B39" s="2" t="s">
        <v>684</v>
      </c>
      <c r="C39" s="2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1" t="s">
        <v>173</v>
      </c>
      <c r="B40" s="2" t="s">
        <v>686</v>
      </c>
      <c r="C40" s="2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1" t="s">
        <v>177</v>
      </c>
      <c r="B41" s="2" t="s">
        <v>688</v>
      </c>
      <c r="C41" s="2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1" t="s">
        <v>181</v>
      </c>
      <c r="B42" s="2" t="s">
        <v>690</v>
      </c>
      <c r="C42" s="2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1" t="s">
        <v>185</v>
      </c>
      <c r="B43" s="2" t="s">
        <v>692</v>
      </c>
      <c r="C43" s="2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1" t="s">
        <v>190</v>
      </c>
      <c r="B44" s="2" t="s">
        <v>694</v>
      </c>
      <c r="C44" s="2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1" t="s">
        <v>193</v>
      </c>
      <c r="B45" s="2" t="s">
        <v>696</v>
      </c>
      <c r="C45" s="2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1" t="s">
        <v>197</v>
      </c>
      <c r="B46" s="2" t="s">
        <v>698</v>
      </c>
      <c r="C46" s="2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1" t="s">
        <v>201</v>
      </c>
      <c r="B47" s="2" t="s">
        <v>700</v>
      </c>
      <c r="C47" s="2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1" t="s">
        <v>206</v>
      </c>
      <c r="B48" s="2" t="s">
        <v>702</v>
      </c>
      <c r="C48" s="2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1" t="s">
        <v>208</v>
      </c>
      <c r="B49" s="2" t="s">
        <v>704</v>
      </c>
      <c r="C49" s="2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1" t="s">
        <v>210</v>
      </c>
      <c r="B50" s="2" t="s">
        <v>706</v>
      </c>
      <c r="C50" s="2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1" t="s">
        <v>213</v>
      </c>
      <c r="B51" s="2" t="s">
        <v>708</v>
      </c>
      <c r="C51" s="2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1" t="s">
        <v>217</v>
      </c>
      <c r="B52" s="2" t="s">
        <v>710</v>
      </c>
      <c r="C52" s="2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1" t="s">
        <v>222</v>
      </c>
      <c r="B53" s="2" t="s">
        <v>712</v>
      </c>
      <c r="C53" s="2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1" t="s">
        <v>224</v>
      </c>
      <c r="B54" s="2" t="s">
        <v>714</v>
      </c>
      <c r="C54" s="2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1" t="s">
        <v>227</v>
      </c>
      <c r="B55" s="2" t="s">
        <v>716</v>
      </c>
      <c r="C55" s="2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1" t="s">
        <v>231</v>
      </c>
      <c r="B56" s="2" t="s">
        <v>718</v>
      </c>
      <c r="C56" s="2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1" t="s">
        <v>235</v>
      </c>
      <c r="B57" s="2" t="s">
        <v>720</v>
      </c>
      <c r="C57" s="2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1" t="s">
        <v>237</v>
      </c>
      <c r="B58" s="2" t="s">
        <v>722</v>
      </c>
      <c r="C58" s="2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1" t="s">
        <v>239</v>
      </c>
      <c r="B59" s="2" t="s">
        <v>657</v>
      </c>
      <c r="C59" s="2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1" t="s">
        <v>242</v>
      </c>
      <c r="B60" s="2" t="s">
        <v>725</v>
      </c>
      <c r="C60" s="2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1" t="s">
        <v>247</v>
      </c>
      <c r="B61" s="2" t="s">
        <v>727</v>
      </c>
      <c r="C61" s="2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1" t="s">
        <v>252</v>
      </c>
      <c r="B62" s="2" t="s">
        <v>729</v>
      </c>
      <c r="C62" s="2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1" t="s">
        <v>255</v>
      </c>
      <c r="B63" s="2" t="s">
        <v>731</v>
      </c>
      <c r="C63" s="2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1" t="s">
        <v>258</v>
      </c>
      <c r="B64" s="2" t="s">
        <v>733</v>
      </c>
      <c r="C64" s="2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1" t="s">
        <v>262</v>
      </c>
      <c r="B65" s="2" t="s">
        <v>735</v>
      </c>
      <c r="C65" s="2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1" t="s">
        <v>268</v>
      </c>
      <c r="B66" s="2" t="s">
        <v>737</v>
      </c>
      <c r="C66" s="2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1" t="s">
        <v>272</v>
      </c>
      <c r="B67" s="2" t="s">
        <v>739</v>
      </c>
      <c r="C67" s="2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1" t="s">
        <v>275</v>
      </c>
      <c r="B68" s="2" t="s">
        <v>741</v>
      </c>
      <c r="C68" s="2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1" t="s">
        <v>279</v>
      </c>
      <c r="B69" s="2" t="s">
        <v>743</v>
      </c>
      <c r="C69" s="2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1" t="s">
        <v>283</v>
      </c>
      <c r="B70" s="2" t="s">
        <v>745</v>
      </c>
      <c r="C70" s="2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1" t="s">
        <v>284</v>
      </c>
      <c r="B71" s="2" t="s">
        <v>747</v>
      </c>
      <c r="C71" s="2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1" t="s">
        <v>289</v>
      </c>
      <c r="B72" s="2" t="s">
        <v>749</v>
      </c>
      <c r="C72" s="2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1" t="s">
        <v>291</v>
      </c>
      <c r="B73" s="2" t="s">
        <v>751</v>
      </c>
      <c r="C73" s="2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1" t="s">
        <v>295</v>
      </c>
      <c r="B74" s="2" t="s">
        <v>753</v>
      </c>
      <c r="C74" s="2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1" t="s">
        <v>299</v>
      </c>
      <c r="B75" s="2" t="s">
        <v>755</v>
      </c>
      <c r="C75" s="2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1" t="s">
        <v>302</v>
      </c>
      <c r="B76" s="2" t="s">
        <v>757</v>
      </c>
      <c r="C76" s="2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1" t="s">
        <v>305</v>
      </c>
      <c r="B77" s="2" t="s">
        <v>759</v>
      </c>
      <c r="C77" s="2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1" t="s">
        <v>309</v>
      </c>
      <c r="B78" s="2" t="s">
        <v>761</v>
      </c>
      <c r="C78" s="2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1" t="s">
        <v>315</v>
      </c>
      <c r="B79" s="2" t="s">
        <v>763</v>
      </c>
      <c r="C79" s="2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1" t="s">
        <v>320</v>
      </c>
      <c r="B80" s="2" t="s">
        <v>765</v>
      </c>
      <c r="C80" s="2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1" t="s">
        <v>323</v>
      </c>
      <c r="B81" s="2" t="s">
        <v>767</v>
      </c>
      <c r="C81" s="2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1" t="s">
        <v>328</v>
      </c>
      <c r="B82" s="2" t="s">
        <v>769</v>
      </c>
      <c r="C82" s="2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1" t="s">
        <v>333</v>
      </c>
      <c r="B83" s="2" t="s">
        <v>771</v>
      </c>
      <c r="C83" s="2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1" t="s">
        <v>337</v>
      </c>
      <c r="B84" s="2" t="s">
        <v>773</v>
      </c>
      <c r="C84" s="2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1" t="s">
        <v>339</v>
      </c>
      <c r="B85" s="2" t="s">
        <v>775</v>
      </c>
      <c r="C85" s="2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1" t="s">
        <v>342</v>
      </c>
      <c r="B86" s="2" t="s">
        <v>777</v>
      </c>
      <c r="C86" s="2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1" t="s">
        <v>345</v>
      </c>
      <c r="B87" s="2" t="s">
        <v>779</v>
      </c>
      <c r="C87" s="2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1" t="s">
        <v>350</v>
      </c>
      <c r="B88" s="2" t="s">
        <v>781</v>
      </c>
      <c r="C88" s="2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1" t="s">
        <v>354</v>
      </c>
      <c r="B89" s="2" t="s">
        <v>783</v>
      </c>
      <c r="C89" s="2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1" t="s">
        <v>360</v>
      </c>
      <c r="B90" s="2" t="s">
        <v>785</v>
      </c>
      <c r="C90" s="2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1" t="s">
        <v>367</v>
      </c>
      <c r="B91" s="2" t="s">
        <v>787</v>
      </c>
      <c r="C91" s="2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1" t="s">
        <v>371</v>
      </c>
      <c r="B92" s="2" t="s">
        <v>789</v>
      </c>
      <c r="C92" s="2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1" t="s">
        <v>374</v>
      </c>
      <c r="B93" s="2" t="s">
        <v>791</v>
      </c>
      <c r="C93" s="2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1" t="s">
        <v>379</v>
      </c>
      <c r="B94" s="2" t="s">
        <v>793</v>
      </c>
      <c r="C94" s="2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1" t="s">
        <v>381</v>
      </c>
      <c r="B95" s="2" t="s">
        <v>795</v>
      </c>
      <c r="C95" s="2" t="s">
        <v>796</v>
      </c>
      <c r="D95" s="5">
        <v>52</v>
      </c>
      <c r="E95" s="2"/>
      <c r="F95" s="2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2" t="s">
        <v>796</v>
      </c>
      <c r="O95" s="2" t="s">
        <v>796</v>
      </c>
      <c r="P95" s="2" t="s">
        <v>796</v>
      </c>
      <c r="Q95" s="2" t="s">
        <v>796</v>
      </c>
    </row>
    <row r="96" spans="1:17" x14ac:dyDescent="0.3">
      <c r="A96" s="1" t="s">
        <v>386</v>
      </c>
      <c r="B96" s="2" t="s">
        <v>797</v>
      </c>
      <c r="C96" s="2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1" t="s">
        <v>391</v>
      </c>
      <c r="B97" s="2" t="s">
        <v>799</v>
      </c>
      <c r="C97" s="2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1" t="s">
        <v>396</v>
      </c>
      <c r="B98" s="2" t="s">
        <v>801</v>
      </c>
      <c r="C98" s="2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1" t="s">
        <v>400</v>
      </c>
      <c r="B99" s="2" t="s">
        <v>803</v>
      </c>
      <c r="C99" s="2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1" t="s">
        <v>405</v>
      </c>
      <c r="B100" s="2" t="s">
        <v>720</v>
      </c>
      <c r="C100" s="2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1" t="s">
        <v>407</v>
      </c>
      <c r="B101" s="2" t="s">
        <v>806</v>
      </c>
      <c r="C101" s="2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1" t="s">
        <v>410</v>
      </c>
      <c r="B102" s="2" t="s">
        <v>808</v>
      </c>
      <c r="C102" s="2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1" t="s">
        <v>415</v>
      </c>
      <c r="B103" s="2" t="s">
        <v>810</v>
      </c>
      <c r="C103" s="2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1" t="s">
        <v>418</v>
      </c>
      <c r="B104" s="2" t="s">
        <v>812</v>
      </c>
      <c r="C104" s="2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1" t="s">
        <v>423</v>
      </c>
      <c r="B105" s="2" t="s">
        <v>814</v>
      </c>
      <c r="C105" s="2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1" t="s">
        <v>429</v>
      </c>
      <c r="B106" s="2" t="s">
        <v>816</v>
      </c>
      <c r="C106" s="2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1" t="s">
        <v>433</v>
      </c>
      <c r="B107" s="2" t="s">
        <v>818</v>
      </c>
      <c r="C107" s="2"/>
      <c r="D107" s="5">
        <v>64</v>
      </c>
      <c r="E107" s="2"/>
      <c r="F107" s="2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2" t="s">
        <v>796</v>
      </c>
      <c r="O107" s="2" t="s">
        <v>796</v>
      </c>
      <c r="P107" s="2" t="s">
        <v>796</v>
      </c>
      <c r="Q107" s="2" t="s">
        <v>796</v>
      </c>
    </row>
    <row r="108" spans="1:17" x14ac:dyDescent="0.3">
      <c r="A108" s="1" t="s">
        <v>437</v>
      </c>
      <c r="B108" s="2" t="s">
        <v>612</v>
      </c>
      <c r="C108" s="2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1" t="s">
        <v>440</v>
      </c>
      <c r="B109" s="2" t="s">
        <v>820</v>
      </c>
      <c r="C109" s="2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1" t="s">
        <v>444</v>
      </c>
      <c r="B110" s="2" t="s">
        <v>822</v>
      </c>
      <c r="C110" s="2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1" t="s">
        <v>446</v>
      </c>
      <c r="B111" s="2" t="s">
        <v>824</v>
      </c>
      <c r="C111" s="2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1" t="s">
        <v>450</v>
      </c>
      <c r="B112" s="2" t="s">
        <v>826</v>
      </c>
      <c r="C112" s="2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1" t="s">
        <v>454</v>
      </c>
      <c r="B113" s="2" t="s">
        <v>828</v>
      </c>
      <c r="C113" s="2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1" t="s">
        <v>457</v>
      </c>
      <c r="B114" s="2" t="s">
        <v>830</v>
      </c>
      <c r="C114" s="2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1" t="s">
        <v>461</v>
      </c>
      <c r="B115" s="2" t="s">
        <v>832</v>
      </c>
      <c r="C115" s="2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1" t="s">
        <v>464</v>
      </c>
      <c r="B116" s="2" t="s">
        <v>733</v>
      </c>
      <c r="C116" s="2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1" t="s">
        <v>466</v>
      </c>
      <c r="B117" s="2" t="s">
        <v>835</v>
      </c>
      <c r="C117" s="2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1" t="s">
        <v>468</v>
      </c>
      <c r="B118" s="2" t="s">
        <v>837</v>
      </c>
      <c r="C118" s="2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1" t="s">
        <v>472</v>
      </c>
      <c r="B119" s="2" t="s">
        <v>839</v>
      </c>
      <c r="C119" s="2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1" t="s">
        <v>476</v>
      </c>
      <c r="B120" s="2" t="s">
        <v>841</v>
      </c>
      <c r="C120" s="2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1" t="s">
        <v>481</v>
      </c>
      <c r="B121" s="2" t="s">
        <v>843</v>
      </c>
      <c r="C121" s="2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1" t="s">
        <v>484</v>
      </c>
      <c r="B122" s="2" t="s">
        <v>845</v>
      </c>
      <c r="C122" s="2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1" t="s">
        <v>488</v>
      </c>
      <c r="B123" s="2" t="s">
        <v>847</v>
      </c>
      <c r="C123" s="2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1" t="s">
        <v>494</v>
      </c>
      <c r="B124" s="2" t="s">
        <v>849</v>
      </c>
      <c r="C124" s="2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1" t="s">
        <v>495</v>
      </c>
      <c r="B125" s="2" t="s">
        <v>851</v>
      </c>
      <c r="C125" s="2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1" t="s">
        <v>498</v>
      </c>
      <c r="B126" s="2" t="s">
        <v>853</v>
      </c>
      <c r="C126" s="2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1" t="s">
        <v>502</v>
      </c>
      <c r="B127" s="2" t="s">
        <v>855</v>
      </c>
      <c r="C127" s="2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1" t="s">
        <v>507</v>
      </c>
      <c r="B128" s="2" t="s">
        <v>857</v>
      </c>
      <c r="C128" s="2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1" t="s">
        <v>511</v>
      </c>
      <c r="B129" s="2" t="s">
        <v>859</v>
      </c>
      <c r="C129" s="2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1" t="s">
        <v>515</v>
      </c>
      <c r="B130" s="2" t="s">
        <v>614</v>
      </c>
      <c r="C130" s="2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1" t="s">
        <v>520</v>
      </c>
      <c r="B131" s="2" t="s">
        <v>862</v>
      </c>
      <c r="C131" s="2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1" t="s">
        <v>523</v>
      </c>
      <c r="B132" s="2" t="s">
        <v>864</v>
      </c>
      <c r="C132" s="2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1" t="s">
        <v>526</v>
      </c>
      <c r="B133" s="2" t="s">
        <v>682</v>
      </c>
      <c r="C133" s="2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1" t="s">
        <v>530</v>
      </c>
      <c r="B134" s="2" t="s">
        <v>867</v>
      </c>
      <c r="C134" s="2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1" t="s">
        <v>534</v>
      </c>
      <c r="B135" s="2" t="s">
        <v>869</v>
      </c>
      <c r="C135" s="2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1" t="s">
        <v>540</v>
      </c>
      <c r="B136" s="2" t="s">
        <v>871</v>
      </c>
      <c r="C136" s="2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1" t="s">
        <v>544</v>
      </c>
      <c r="B137" s="2" t="s">
        <v>873</v>
      </c>
      <c r="C137" s="2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1" t="s">
        <v>549</v>
      </c>
      <c r="B138" s="2" t="s">
        <v>875</v>
      </c>
      <c r="C138" s="2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1" t="s">
        <v>553</v>
      </c>
      <c r="B139" s="2" t="s">
        <v>877</v>
      </c>
      <c r="C139" s="2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1" t="s">
        <v>557</v>
      </c>
      <c r="B140" s="2" t="s">
        <v>879</v>
      </c>
      <c r="C140" s="2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1" t="s">
        <v>560</v>
      </c>
      <c r="B141" s="2" t="s">
        <v>881</v>
      </c>
      <c r="C141" s="2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1" t="s">
        <v>562</v>
      </c>
      <c r="B142" s="2" t="s">
        <v>883</v>
      </c>
      <c r="C142" s="2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1" t="s">
        <v>568</v>
      </c>
      <c r="B143" s="2" t="s">
        <v>885</v>
      </c>
      <c r="C143" s="2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1" t="s">
        <v>570</v>
      </c>
      <c r="B144" s="2" t="s">
        <v>887</v>
      </c>
      <c r="C144" s="2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1" t="s">
        <v>575</v>
      </c>
      <c r="B145" s="2" t="s">
        <v>889</v>
      </c>
      <c r="C145" s="2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1" t="s">
        <v>577</v>
      </c>
      <c r="B146" s="2" t="s">
        <v>891</v>
      </c>
      <c r="C146" s="2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1" t="s">
        <v>580</v>
      </c>
      <c r="B147" s="2" t="s">
        <v>893</v>
      </c>
      <c r="C147" s="2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1" t="s">
        <v>586</v>
      </c>
      <c r="B148" s="2" t="s">
        <v>895</v>
      </c>
      <c r="C148" s="2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1" t="s">
        <v>590</v>
      </c>
      <c r="B149" s="2" t="s">
        <v>897</v>
      </c>
      <c r="C149" s="2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1" t="s">
        <v>592</v>
      </c>
      <c r="B150" s="2" t="s">
        <v>899</v>
      </c>
      <c r="C150" s="2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3BB55-F5C4-4273-A2AF-E7D11B563054}">
  <sheetPr codeName="Sheet3"/>
  <dimension ref="A1:J150"/>
  <sheetViews>
    <sheetView workbookViewId="0">
      <selection sqref="A1:J1048576"/>
    </sheetView>
  </sheetViews>
  <sheetFormatPr defaultRowHeight="14.4" x14ac:dyDescent="0.3"/>
  <cols>
    <col min="1" max="1" width="31.44140625" bestFit="1" customWidth="1"/>
    <col min="2" max="2" width="18.44140625" customWidth="1"/>
    <col min="3" max="3" width="15.44140625" customWidth="1"/>
    <col min="4" max="4" width="13.44140625" customWidth="1"/>
    <col min="5" max="5" width="10.77734375" customWidth="1"/>
    <col min="6" max="6" width="13.6640625" customWidth="1"/>
    <col min="7" max="7" width="13.44140625" customWidth="1"/>
    <col min="8" max="8" width="15.33203125" customWidth="1"/>
    <col min="9" max="9" width="16.6640625" customWidth="1"/>
    <col min="10" max="10" width="17.21875" customWidth="1"/>
  </cols>
  <sheetData>
    <row r="1" spans="1:10" ht="52.8" x14ac:dyDescent="0.3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">
      <c r="A2" s="1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2" t="s">
        <v>909</v>
      </c>
      <c r="I2" s="2" t="s">
        <v>910</v>
      </c>
      <c r="J2" s="2" t="s">
        <v>911</v>
      </c>
    </row>
    <row r="3" spans="1:10" x14ac:dyDescent="0.3">
      <c r="A3" s="1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2" t="s">
        <v>909</v>
      </c>
      <c r="I3" s="2" t="s">
        <v>910</v>
      </c>
      <c r="J3" s="2" t="s">
        <v>911</v>
      </c>
    </row>
    <row r="4" spans="1:10" x14ac:dyDescent="0.3">
      <c r="A4" s="1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2" t="s">
        <v>912</v>
      </c>
      <c r="I4" s="2" t="s">
        <v>12</v>
      </c>
      <c r="J4" s="2" t="s">
        <v>913</v>
      </c>
    </row>
    <row r="5" spans="1:10" x14ac:dyDescent="0.3">
      <c r="A5" s="1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2" t="s">
        <v>912</v>
      </c>
      <c r="I5" s="2" t="s">
        <v>12</v>
      </c>
      <c r="J5" s="2" t="s">
        <v>913</v>
      </c>
    </row>
    <row r="6" spans="1:10" x14ac:dyDescent="0.3">
      <c r="A6" s="1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2" t="s">
        <v>914</v>
      </c>
      <c r="I6" s="2" t="s">
        <v>915</v>
      </c>
      <c r="J6" s="2" t="s">
        <v>916</v>
      </c>
    </row>
    <row r="7" spans="1:10" x14ac:dyDescent="0.3">
      <c r="A7" s="1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2" t="s">
        <v>914</v>
      </c>
      <c r="I7" s="2" t="s">
        <v>915</v>
      </c>
      <c r="J7" s="2" t="s">
        <v>916</v>
      </c>
    </row>
    <row r="8" spans="1:10" x14ac:dyDescent="0.3">
      <c r="A8" s="1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2" t="s">
        <v>917</v>
      </c>
      <c r="I8" s="2" t="s">
        <v>12</v>
      </c>
      <c r="J8" s="2" t="s">
        <v>918</v>
      </c>
    </row>
    <row r="9" spans="1:10" x14ac:dyDescent="0.3">
      <c r="A9" s="1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2" t="s">
        <v>917</v>
      </c>
      <c r="I9" s="2" t="s">
        <v>12</v>
      </c>
      <c r="J9" s="2" t="s">
        <v>918</v>
      </c>
    </row>
    <row r="10" spans="1:10" x14ac:dyDescent="0.3">
      <c r="A10" s="1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2" t="s">
        <v>919</v>
      </c>
      <c r="I10" s="2" t="s">
        <v>920</v>
      </c>
      <c r="J10" s="2" t="s">
        <v>921</v>
      </c>
    </row>
    <row r="11" spans="1:10" x14ac:dyDescent="0.3">
      <c r="A11" s="1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2" t="s">
        <v>919</v>
      </c>
      <c r="I11" s="2" t="s">
        <v>920</v>
      </c>
      <c r="J11" s="2" t="s">
        <v>921</v>
      </c>
    </row>
    <row r="12" spans="1:10" x14ac:dyDescent="0.3">
      <c r="A12" s="1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2" t="s">
        <v>922</v>
      </c>
      <c r="I12" s="2" t="s">
        <v>923</v>
      </c>
      <c r="J12" s="2" t="s">
        <v>924</v>
      </c>
    </row>
    <row r="13" spans="1:10" x14ac:dyDescent="0.3">
      <c r="A13" s="1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2" t="s">
        <v>922</v>
      </c>
      <c r="I13" s="2" t="s">
        <v>923</v>
      </c>
      <c r="J13" s="2" t="s">
        <v>924</v>
      </c>
    </row>
    <row r="14" spans="1:10" x14ac:dyDescent="0.3">
      <c r="A14" s="1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2" t="s">
        <v>925</v>
      </c>
      <c r="I14" s="2" t="s">
        <v>12</v>
      </c>
      <c r="J14" s="2" t="s">
        <v>926</v>
      </c>
    </row>
    <row r="15" spans="1:10" x14ac:dyDescent="0.3">
      <c r="A15" s="1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2" t="s">
        <v>925</v>
      </c>
      <c r="I15" s="2" t="s">
        <v>12</v>
      </c>
      <c r="J15" s="2" t="s">
        <v>926</v>
      </c>
    </row>
    <row r="16" spans="1:10" x14ac:dyDescent="0.3">
      <c r="A16" s="1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2" t="s">
        <v>922</v>
      </c>
      <c r="I16" s="2" t="s">
        <v>927</v>
      </c>
      <c r="J16" s="2" t="s">
        <v>928</v>
      </c>
    </row>
    <row r="17" spans="1:10" x14ac:dyDescent="0.3">
      <c r="A17" s="1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2" t="s">
        <v>922</v>
      </c>
      <c r="I17" s="2" t="s">
        <v>927</v>
      </c>
      <c r="J17" s="2" t="s">
        <v>928</v>
      </c>
    </row>
    <row r="18" spans="1:10" x14ac:dyDescent="0.3">
      <c r="A18" s="1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2" t="s">
        <v>929</v>
      </c>
      <c r="I18" s="2" t="s">
        <v>926</v>
      </c>
      <c r="J18" s="2" t="s">
        <v>913</v>
      </c>
    </row>
    <row r="19" spans="1:10" x14ac:dyDescent="0.3">
      <c r="A19" s="1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2" t="s">
        <v>929</v>
      </c>
      <c r="I19" s="2" t="s">
        <v>926</v>
      </c>
      <c r="J19" s="2" t="s">
        <v>913</v>
      </c>
    </row>
    <row r="20" spans="1:10" x14ac:dyDescent="0.3">
      <c r="A20" s="1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2" t="s">
        <v>930</v>
      </c>
      <c r="I20" s="2" t="s">
        <v>910</v>
      </c>
      <c r="J20" s="2" t="s">
        <v>926</v>
      </c>
    </row>
    <row r="21" spans="1:10" x14ac:dyDescent="0.3">
      <c r="A21" s="1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2" t="s">
        <v>930</v>
      </c>
      <c r="I21" s="2" t="s">
        <v>910</v>
      </c>
      <c r="J21" s="2" t="s">
        <v>926</v>
      </c>
    </row>
    <row r="22" spans="1:10" x14ac:dyDescent="0.3">
      <c r="A22" s="1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2" t="s">
        <v>931</v>
      </c>
      <c r="I22" s="2" t="s">
        <v>932</v>
      </c>
      <c r="J22" s="2" t="s">
        <v>911</v>
      </c>
    </row>
    <row r="23" spans="1:10" x14ac:dyDescent="0.3">
      <c r="A23" s="1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2" t="s">
        <v>931</v>
      </c>
      <c r="I23" s="2" t="s">
        <v>932</v>
      </c>
      <c r="J23" s="2" t="s">
        <v>911</v>
      </c>
    </row>
    <row r="24" spans="1:10" x14ac:dyDescent="0.3">
      <c r="A24" s="1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2" t="s">
        <v>933</v>
      </c>
      <c r="I24" s="2" t="s">
        <v>12</v>
      </c>
      <c r="J24" s="2" t="s">
        <v>934</v>
      </c>
    </row>
    <row r="25" spans="1:10" x14ac:dyDescent="0.3">
      <c r="A25" s="1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2" t="s">
        <v>933</v>
      </c>
      <c r="I25" s="2" t="s">
        <v>12</v>
      </c>
      <c r="J25" s="2" t="s">
        <v>934</v>
      </c>
    </row>
    <row r="26" spans="1:10" x14ac:dyDescent="0.3">
      <c r="A26" s="1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2" t="s">
        <v>933</v>
      </c>
      <c r="I26" s="2" t="s">
        <v>910</v>
      </c>
      <c r="J26" s="2" t="s">
        <v>935</v>
      </c>
    </row>
    <row r="27" spans="1:10" x14ac:dyDescent="0.3">
      <c r="A27" s="1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2" t="s">
        <v>933</v>
      </c>
      <c r="I27" s="2" t="s">
        <v>910</v>
      </c>
      <c r="J27" s="2" t="s">
        <v>935</v>
      </c>
    </row>
    <row r="28" spans="1:10" x14ac:dyDescent="0.3">
      <c r="A28" s="1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2" t="s">
        <v>925</v>
      </c>
      <c r="I28" s="2" t="s">
        <v>936</v>
      </c>
      <c r="J28" s="2" t="s">
        <v>937</v>
      </c>
    </row>
    <row r="29" spans="1:10" x14ac:dyDescent="0.3">
      <c r="A29" s="1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2" t="s">
        <v>925</v>
      </c>
      <c r="I29" s="2" t="s">
        <v>936</v>
      </c>
      <c r="J29" s="2" t="s">
        <v>937</v>
      </c>
    </row>
    <row r="30" spans="1:10" x14ac:dyDescent="0.3">
      <c r="A30" s="1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2" t="s">
        <v>925</v>
      </c>
      <c r="I30" s="2" t="s">
        <v>938</v>
      </c>
      <c r="J30" s="2" t="s">
        <v>918</v>
      </c>
    </row>
    <row r="31" spans="1:10" x14ac:dyDescent="0.3">
      <c r="A31" s="1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2" t="s">
        <v>925</v>
      </c>
      <c r="I31" s="2" t="s">
        <v>938</v>
      </c>
      <c r="J31" s="2" t="s">
        <v>918</v>
      </c>
    </row>
    <row r="32" spans="1:10" x14ac:dyDescent="0.3">
      <c r="A32" s="1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2" t="s">
        <v>909</v>
      </c>
      <c r="I32" s="2" t="s">
        <v>376</v>
      </c>
      <c r="J32" s="2" t="s">
        <v>911</v>
      </c>
    </row>
    <row r="33" spans="1:10" x14ac:dyDescent="0.3">
      <c r="A33" s="1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2" t="s">
        <v>909</v>
      </c>
      <c r="I33" s="2" t="s">
        <v>376</v>
      </c>
      <c r="J33" s="2" t="s">
        <v>911</v>
      </c>
    </row>
    <row r="34" spans="1:10" x14ac:dyDescent="0.3">
      <c r="A34" s="1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2" t="s">
        <v>939</v>
      </c>
      <c r="I34" s="2" t="s">
        <v>12</v>
      </c>
      <c r="J34" s="2" t="s">
        <v>940</v>
      </c>
    </row>
    <row r="35" spans="1:10" x14ac:dyDescent="0.3">
      <c r="A35" s="1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2" t="s">
        <v>939</v>
      </c>
      <c r="I35" s="2" t="s">
        <v>12</v>
      </c>
      <c r="J35" s="2" t="s">
        <v>940</v>
      </c>
    </row>
    <row r="36" spans="1:10" x14ac:dyDescent="0.3">
      <c r="A36" s="1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2" t="s">
        <v>941</v>
      </c>
      <c r="I36" s="2" t="s">
        <v>12</v>
      </c>
      <c r="J36" s="2" t="s">
        <v>920</v>
      </c>
    </row>
    <row r="37" spans="1:10" x14ac:dyDescent="0.3">
      <c r="A37" s="1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2" t="s">
        <v>941</v>
      </c>
      <c r="I37" s="2" t="s">
        <v>12</v>
      </c>
      <c r="J37" s="2" t="s">
        <v>920</v>
      </c>
    </row>
    <row r="38" spans="1:10" x14ac:dyDescent="0.3">
      <c r="A38" s="1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2" t="s">
        <v>942</v>
      </c>
      <c r="I38" s="2" t="s">
        <v>943</v>
      </c>
      <c r="J38" s="2" t="s">
        <v>935</v>
      </c>
    </row>
    <row r="39" spans="1:10" x14ac:dyDescent="0.3">
      <c r="A39" s="1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2" t="s">
        <v>942</v>
      </c>
      <c r="I39" s="2" t="s">
        <v>943</v>
      </c>
      <c r="J39" s="2" t="s">
        <v>935</v>
      </c>
    </row>
    <row r="40" spans="1:10" x14ac:dyDescent="0.3">
      <c r="A40" s="1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2" t="s">
        <v>944</v>
      </c>
      <c r="I40" s="2" t="s">
        <v>913</v>
      </c>
      <c r="J40" s="2" t="s">
        <v>945</v>
      </c>
    </row>
    <row r="41" spans="1:10" x14ac:dyDescent="0.3">
      <c r="A41" s="1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2" t="s">
        <v>944</v>
      </c>
      <c r="I41" s="2" t="s">
        <v>913</v>
      </c>
      <c r="J41" s="2" t="s">
        <v>945</v>
      </c>
    </row>
    <row r="42" spans="1:10" x14ac:dyDescent="0.3">
      <c r="A42" s="1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2" t="s">
        <v>946</v>
      </c>
      <c r="I42" s="2" t="s">
        <v>12</v>
      </c>
      <c r="J42" s="2" t="s">
        <v>926</v>
      </c>
    </row>
    <row r="43" spans="1:10" x14ac:dyDescent="0.3">
      <c r="A43" s="1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2" t="s">
        <v>946</v>
      </c>
      <c r="I43" s="2" t="s">
        <v>12</v>
      </c>
      <c r="J43" s="2" t="s">
        <v>926</v>
      </c>
    </row>
    <row r="44" spans="1:10" x14ac:dyDescent="0.3">
      <c r="A44" s="1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2" t="s">
        <v>947</v>
      </c>
      <c r="I44" s="2" t="s">
        <v>920</v>
      </c>
      <c r="J44" s="2" t="s">
        <v>945</v>
      </c>
    </row>
    <row r="45" spans="1:10" x14ac:dyDescent="0.3">
      <c r="A45" s="1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2" t="s">
        <v>947</v>
      </c>
      <c r="I45" s="2" t="s">
        <v>920</v>
      </c>
      <c r="J45" s="2" t="s">
        <v>945</v>
      </c>
    </row>
    <row r="46" spans="1:10" x14ac:dyDescent="0.3">
      <c r="A46" s="1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2" t="s">
        <v>948</v>
      </c>
      <c r="I46" s="2" t="s">
        <v>949</v>
      </c>
      <c r="J46" s="2" t="s">
        <v>950</v>
      </c>
    </row>
    <row r="47" spans="1:10" x14ac:dyDescent="0.3">
      <c r="A47" s="1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2" t="s">
        <v>948</v>
      </c>
      <c r="I47" s="2" t="s">
        <v>949</v>
      </c>
      <c r="J47" s="2" t="s">
        <v>950</v>
      </c>
    </row>
    <row r="48" spans="1:10" x14ac:dyDescent="0.3">
      <c r="A48" s="1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2" t="s">
        <v>951</v>
      </c>
      <c r="I48" s="2" t="s">
        <v>940</v>
      </c>
      <c r="J48" s="2" t="s">
        <v>921</v>
      </c>
    </row>
    <row r="49" spans="1:10" x14ac:dyDescent="0.3">
      <c r="A49" s="1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2" t="s">
        <v>951</v>
      </c>
      <c r="I49" s="2" t="s">
        <v>940</v>
      </c>
      <c r="J49" s="2" t="s">
        <v>921</v>
      </c>
    </row>
    <row r="50" spans="1:10" x14ac:dyDescent="0.3">
      <c r="A50" s="1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2" t="s">
        <v>952</v>
      </c>
      <c r="I50" s="2" t="s">
        <v>953</v>
      </c>
      <c r="J50" s="2" t="s">
        <v>954</v>
      </c>
    </row>
    <row r="51" spans="1:10" x14ac:dyDescent="0.3">
      <c r="A51" s="1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2" t="s">
        <v>952</v>
      </c>
      <c r="I51" s="2" t="s">
        <v>953</v>
      </c>
      <c r="J51" s="2" t="s">
        <v>954</v>
      </c>
    </row>
    <row r="52" spans="1:10" x14ac:dyDescent="0.3">
      <c r="A52" s="1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2" t="s">
        <v>955</v>
      </c>
      <c r="I52" s="2"/>
      <c r="J52" s="2" t="s">
        <v>956</v>
      </c>
    </row>
    <row r="53" spans="1:10" x14ac:dyDescent="0.3">
      <c r="A53" s="1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2" t="s">
        <v>955</v>
      </c>
      <c r="I53" s="2"/>
      <c r="J53" s="2" t="s">
        <v>956</v>
      </c>
    </row>
    <row r="54" spans="1:10" x14ac:dyDescent="0.3">
      <c r="A54" s="1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2" t="s">
        <v>922</v>
      </c>
      <c r="I54" s="2" t="s">
        <v>934</v>
      </c>
      <c r="J54" s="2" t="s">
        <v>926</v>
      </c>
    </row>
    <row r="55" spans="1:10" x14ac:dyDescent="0.3">
      <c r="A55" s="1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2" t="s">
        <v>922</v>
      </c>
      <c r="I55" s="2" t="s">
        <v>934</v>
      </c>
      <c r="J55" s="2" t="s">
        <v>926</v>
      </c>
    </row>
    <row r="56" spans="1:10" x14ac:dyDescent="0.3">
      <c r="A56" s="1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2" t="s">
        <v>948</v>
      </c>
      <c r="I56" s="2" t="s">
        <v>957</v>
      </c>
      <c r="J56" s="2" t="s">
        <v>958</v>
      </c>
    </row>
    <row r="57" spans="1:10" x14ac:dyDescent="0.3">
      <c r="A57" s="1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2" t="s">
        <v>948</v>
      </c>
      <c r="I57" s="2" t="s">
        <v>957</v>
      </c>
      <c r="J57" s="2" t="s">
        <v>958</v>
      </c>
    </row>
    <row r="58" spans="1:10" x14ac:dyDescent="0.3">
      <c r="A58" s="1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2" t="s">
        <v>959</v>
      </c>
      <c r="I58" s="2" t="s">
        <v>960</v>
      </c>
      <c r="J58" s="2" t="s">
        <v>924</v>
      </c>
    </row>
    <row r="59" spans="1:10" x14ac:dyDescent="0.3">
      <c r="A59" s="1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2" t="s">
        <v>959</v>
      </c>
      <c r="I59" s="2" t="s">
        <v>960</v>
      </c>
      <c r="J59" s="2" t="s">
        <v>924</v>
      </c>
    </row>
    <row r="60" spans="1:10" x14ac:dyDescent="0.3">
      <c r="A60" s="1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2" t="s">
        <v>961</v>
      </c>
      <c r="I60" s="2" t="s">
        <v>962</v>
      </c>
      <c r="J60" s="2" t="s">
        <v>954</v>
      </c>
    </row>
    <row r="61" spans="1:10" x14ac:dyDescent="0.3">
      <c r="A61" s="1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2" t="s">
        <v>961</v>
      </c>
      <c r="I61" s="2" t="s">
        <v>962</v>
      </c>
      <c r="J61" s="2" t="s">
        <v>954</v>
      </c>
    </row>
    <row r="62" spans="1:10" x14ac:dyDescent="0.3">
      <c r="A62" s="1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2" t="s">
        <v>963</v>
      </c>
      <c r="I62" s="2" t="s">
        <v>957</v>
      </c>
      <c r="J62" s="2" t="s">
        <v>934</v>
      </c>
    </row>
    <row r="63" spans="1:10" x14ac:dyDescent="0.3">
      <c r="A63" s="1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2" t="s">
        <v>963</v>
      </c>
      <c r="I63" s="2" t="s">
        <v>957</v>
      </c>
      <c r="J63" s="2" t="s">
        <v>934</v>
      </c>
    </row>
    <row r="64" spans="1:10" x14ac:dyDescent="0.3">
      <c r="A64" s="1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2" t="s">
        <v>964</v>
      </c>
      <c r="I64" s="2" t="s">
        <v>957</v>
      </c>
      <c r="J64" s="2" t="s">
        <v>965</v>
      </c>
    </row>
    <row r="65" spans="1:10" x14ac:dyDescent="0.3">
      <c r="A65" s="1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2" t="s">
        <v>964</v>
      </c>
      <c r="I65" s="2" t="s">
        <v>957</v>
      </c>
      <c r="J65" s="2" t="s">
        <v>965</v>
      </c>
    </row>
    <row r="66" spans="1:10" x14ac:dyDescent="0.3">
      <c r="A66" s="1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2" t="s">
        <v>966</v>
      </c>
      <c r="I66" s="2" t="s">
        <v>920</v>
      </c>
      <c r="J66" s="2" t="s">
        <v>921</v>
      </c>
    </row>
    <row r="67" spans="1:10" x14ac:dyDescent="0.3">
      <c r="A67" s="1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2" t="s">
        <v>966</v>
      </c>
      <c r="I67" s="2" t="s">
        <v>920</v>
      </c>
      <c r="J67" s="2" t="s">
        <v>921</v>
      </c>
    </row>
    <row r="68" spans="1:10" x14ac:dyDescent="0.3">
      <c r="A68" s="1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2" t="s">
        <v>967</v>
      </c>
      <c r="I68" s="2" t="s">
        <v>12</v>
      </c>
      <c r="J68" s="2" t="s">
        <v>911</v>
      </c>
    </row>
    <row r="69" spans="1:10" x14ac:dyDescent="0.3">
      <c r="A69" s="1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2" t="s">
        <v>967</v>
      </c>
      <c r="I69" s="2" t="s">
        <v>12</v>
      </c>
      <c r="J69" s="2" t="s">
        <v>911</v>
      </c>
    </row>
    <row r="70" spans="1:10" x14ac:dyDescent="0.3">
      <c r="A70" s="1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2" t="s">
        <v>929</v>
      </c>
      <c r="I70" s="2" t="s">
        <v>910</v>
      </c>
      <c r="J70" s="2" t="s">
        <v>913</v>
      </c>
    </row>
    <row r="71" spans="1:10" x14ac:dyDescent="0.3">
      <c r="A71" s="1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2" t="s">
        <v>929</v>
      </c>
      <c r="I71" s="2" t="s">
        <v>910</v>
      </c>
      <c r="J71" s="2" t="s">
        <v>913</v>
      </c>
    </row>
    <row r="72" spans="1:10" x14ac:dyDescent="0.3">
      <c r="A72" s="1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2" t="s">
        <v>912</v>
      </c>
      <c r="I72" s="2" t="s">
        <v>920</v>
      </c>
      <c r="J72" s="2" t="s">
        <v>913</v>
      </c>
    </row>
    <row r="73" spans="1:10" x14ac:dyDescent="0.3">
      <c r="A73" s="1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2" t="s">
        <v>912</v>
      </c>
      <c r="I73" s="2" t="s">
        <v>920</v>
      </c>
      <c r="J73" s="2" t="s">
        <v>913</v>
      </c>
    </row>
    <row r="74" spans="1:10" x14ac:dyDescent="0.3">
      <c r="A74" s="1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2" t="s">
        <v>968</v>
      </c>
      <c r="I74" s="2" t="s">
        <v>12</v>
      </c>
      <c r="J74" s="2" t="s">
        <v>911</v>
      </c>
    </row>
    <row r="75" spans="1:10" x14ac:dyDescent="0.3">
      <c r="A75" s="1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2" t="s">
        <v>968</v>
      </c>
      <c r="I75" s="2" t="s">
        <v>12</v>
      </c>
      <c r="J75" s="2" t="s">
        <v>911</v>
      </c>
    </row>
    <row r="76" spans="1:10" x14ac:dyDescent="0.3">
      <c r="A76" s="1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2" t="s">
        <v>969</v>
      </c>
      <c r="I76" s="2" t="s">
        <v>960</v>
      </c>
      <c r="J76" s="2" t="s">
        <v>937</v>
      </c>
    </row>
    <row r="77" spans="1:10" x14ac:dyDescent="0.3">
      <c r="A77" s="1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2" t="s">
        <v>969</v>
      </c>
      <c r="I77" s="2" t="s">
        <v>960</v>
      </c>
      <c r="J77" s="2" t="s">
        <v>937</v>
      </c>
    </row>
    <row r="78" spans="1:10" x14ac:dyDescent="0.3">
      <c r="A78" s="1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2" t="s">
        <v>952</v>
      </c>
      <c r="I78" s="2" t="s">
        <v>12</v>
      </c>
      <c r="J78" s="2" t="s">
        <v>921</v>
      </c>
    </row>
    <row r="79" spans="1:10" x14ac:dyDescent="0.3">
      <c r="A79" s="1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2" t="s">
        <v>952</v>
      </c>
      <c r="I79" s="2" t="s">
        <v>12</v>
      </c>
      <c r="J79" s="2" t="s">
        <v>921</v>
      </c>
    </row>
    <row r="80" spans="1:10" x14ac:dyDescent="0.3">
      <c r="A80" s="1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2" t="s">
        <v>970</v>
      </c>
      <c r="I80" s="2" t="s">
        <v>920</v>
      </c>
      <c r="J80" s="2" t="s">
        <v>971</v>
      </c>
    </row>
    <row r="81" spans="1:10" x14ac:dyDescent="0.3">
      <c r="A81" s="1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2" t="s">
        <v>970</v>
      </c>
      <c r="I81" s="2" t="s">
        <v>920</v>
      </c>
      <c r="J81" s="2" t="s">
        <v>971</v>
      </c>
    </row>
    <row r="82" spans="1:10" x14ac:dyDescent="0.3">
      <c r="A82" s="1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2" t="s">
        <v>972</v>
      </c>
      <c r="I82" s="2" t="s">
        <v>12</v>
      </c>
      <c r="J82" s="2" t="s">
        <v>913</v>
      </c>
    </row>
    <row r="83" spans="1:10" x14ac:dyDescent="0.3">
      <c r="A83" s="1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2" t="s">
        <v>972</v>
      </c>
      <c r="I83" s="2" t="s">
        <v>12</v>
      </c>
      <c r="J83" s="2" t="s">
        <v>913</v>
      </c>
    </row>
    <row r="84" spans="1:10" x14ac:dyDescent="0.3">
      <c r="A84" s="1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2" t="s">
        <v>21</v>
      </c>
      <c r="I84" s="2" t="s">
        <v>973</v>
      </c>
      <c r="J84" s="2" t="s">
        <v>945</v>
      </c>
    </row>
    <row r="85" spans="1:10" x14ac:dyDescent="0.3">
      <c r="A85" s="1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2" t="s">
        <v>21</v>
      </c>
      <c r="I85" s="2" t="s">
        <v>973</v>
      </c>
      <c r="J85" s="2" t="s">
        <v>945</v>
      </c>
    </row>
    <row r="86" spans="1:10" x14ac:dyDescent="0.3">
      <c r="A86" s="1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2" t="s">
        <v>462</v>
      </c>
      <c r="I86" s="2" t="s">
        <v>910</v>
      </c>
      <c r="J86" s="2" t="s">
        <v>926</v>
      </c>
    </row>
    <row r="87" spans="1:10" x14ac:dyDescent="0.3">
      <c r="A87" s="1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2" t="s">
        <v>462</v>
      </c>
      <c r="I87" s="2" t="s">
        <v>910</v>
      </c>
      <c r="J87" s="2" t="s">
        <v>926</v>
      </c>
    </row>
    <row r="88" spans="1:10" x14ac:dyDescent="0.3">
      <c r="A88" s="1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2" t="s">
        <v>974</v>
      </c>
      <c r="I88" s="2" t="s">
        <v>926</v>
      </c>
      <c r="J88" s="2" t="s">
        <v>934</v>
      </c>
    </row>
    <row r="89" spans="1:10" x14ac:dyDescent="0.3">
      <c r="A89" s="1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2" t="s">
        <v>974</v>
      </c>
      <c r="I89" s="2" t="s">
        <v>926</v>
      </c>
      <c r="J89" s="2" t="s">
        <v>934</v>
      </c>
    </row>
    <row r="90" spans="1:10" x14ac:dyDescent="0.3">
      <c r="A90" s="1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2" t="s">
        <v>967</v>
      </c>
      <c r="I90" s="2" t="s">
        <v>973</v>
      </c>
      <c r="J90" s="2" t="s">
        <v>913</v>
      </c>
    </row>
    <row r="91" spans="1:10" x14ac:dyDescent="0.3">
      <c r="A91" s="1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2" t="s">
        <v>967</v>
      </c>
      <c r="I91" s="2" t="s">
        <v>973</v>
      </c>
      <c r="J91" s="2" t="s">
        <v>913</v>
      </c>
    </row>
    <row r="92" spans="1:10" x14ac:dyDescent="0.3">
      <c r="A92" s="1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2" t="s">
        <v>912</v>
      </c>
      <c r="I92" s="2" t="s">
        <v>958</v>
      </c>
      <c r="J92" s="2" t="s">
        <v>926</v>
      </c>
    </row>
    <row r="93" spans="1:10" x14ac:dyDescent="0.3">
      <c r="A93" s="1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2" t="s">
        <v>912</v>
      </c>
      <c r="I93" s="2" t="s">
        <v>958</v>
      </c>
      <c r="J93" s="2" t="s">
        <v>926</v>
      </c>
    </row>
    <row r="94" spans="1:10" x14ac:dyDescent="0.3">
      <c r="A94" s="1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2" t="s">
        <v>909</v>
      </c>
      <c r="I94" s="2" t="s">
        <v>975</v>
      </c>
      <c r="J94" s="2" t="s">
        <v>954</v>
      </c>
    </row>
    <row r="95" spans="1:10" x14ac:dyDescent="0.3">
      <c r="A95" s="1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2" t="s">
        <v>909</v>
      </c>
      <c r="I95" s="2" t="s">
        <v>975</v>
      </c>
      <c r="J95" s="2" t="s">
        <v>954</v>
      </c>
    </row>
    <row r="96" spans="1:10" x14ac:dyDescent="0.3">
      <c r="A96" s="1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2" t="s">
        <v>976</v>
      </c>
      <c r="I96" s="2" t="s">
        <v>376</v>
      </c>
      <c r="J96" s="2" t="s">
        <v>926</v>
      </c>
    </row>
    <row r="97" spans="1:10" x14ac:dyDescent="0.3">
      <c r="A97" s="1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2" t="s">
        <v>976</v>
      </c>
      <c r="I97" s="2" t="s">
        <v>376</v>
      </c>
      <c r="J97" s="2" t="s">
        <v>926</v>
      </c>
    </row>
    <row r="98" spans="1:10" x14ac:dyDescent="0.3">
      <c r="A98" s="1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2" t="s">
        <v>977</v>
      </c>
      <c r="I98" s="2" t="s">
        <v>12</v>
      </c>
      <c r="J98" s="2" t="s">
        <v>978</v>
      </c>
    </row>
    <row r="99" spans="1:10" x14ac:dyDescent="0.3">
      <c r="A99" s="1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2" t="s">
        <v>977</v>
      </c>
      <c r="I99" s="2" t="s">
        <v>12</v>
      </c>
      <c r="J99" s="2" t="s">
        <v>978</v>
      </c>
    </row>
    <row r="100" spans="1:10" x14ac:dyDescent="0.3">
      <c r="A100" s="1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2" t="s">
        <v>966</v>
      </c>
      <c r="I100" s="2" t="s">
        <v>979</v>
      </c>
      <c r="J100" s="2" t="s">
        <v>956</v>
      </c>
    </row>
    <row r="101" spans="1:10" x14ac:dyDescent="0.3">
      <c r="A101" s="1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2" t="s">
        <v>966</v>
      </c>
      <c r="I101" s="2" t="s">
        <v>979</v>
      </c>
      <c r="J101" s="2" t="s">
        <v>956</v>
      </c>
    </row>
    <row r="102" spans="1:10" x14ac:dyDescent="0.3">
      <c r="A102" s="1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2" t="s">
        <v>980</v>
      </c>
      <c r="I102" s="2" t="s">
        <v>376</v>
      </c>
      <c r="J102" s="2" t="s">
        <v>918</v>
      </c>
    </row>
    <row r="103" spans="1:10" x14ac:dyDescent="0.3">
      <c r="A103" s="1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2" t="s">
        <v>980</v>
      </c>
      <c r="I103" s="2" t="s">
        <v>376</v>
      </c>
      <c r="J103" s="2" t="s">
        <v>918</v>
      </c>
    </row>
    <row r="104" spans="1:10" x14ac:dyDescent="0.3">
      <c r="A104" s="1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2" t="s">
        <v>981</v>
      </c>
      <c r="I104" s="2" t="s">
        <v>376</v>
      </c>
      <c r="J104" s="2" t="s">
        <v>940</v>
      </c>
    </row>
    <row r="105" spans="1:10" x14ac:dyDescent="0.3">
      <c r="A105" s="1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2" t="s">
        <v>981</v>
      </c>
      <c r="I105" s="2" t="s">
        <v>376</v>
      </c>
      <c r="J105" s="2" t="s">
        <v>940</v>
      </c>
    </row>
    <row r="106" spans="1:10" x14ac:dyDescent="0.3">
      <c r="A106" s="1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2" t="s">
        <v>982</v>
      </c>
      <c r="I106" s="2" t="s">
        <v>916</v>
      </c>
      <c r="J106" s="2" t="s">
        <v>911</v>
      </c>
    </row>
    <row r="107" spans="1:10" x14ac:dyDescent="0.3">
      <c r="A107" s="1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2" t="s">
        <v>982</v>
      </c>
      <c r="I107" s="2" t="s">
        <v>916</v>
      </c>
      <c r="J107" s="2" t="s">
        <v>911</v>
      </c>
    </row>
    <row r="108" spans="1:10" x14ac:dyDescent="0.3">
      <c r="A108" s="1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2" t="s">
        <v>914</v>
      </c>
      <c r="I108" s="2" t="s">
        <v>12</v>
      </c>
      <c r="J108" s="2" t="s">
        <v>958</v>
      </c>
    </row>
    <row r="109" spans="1:10" x14ac:dyDescent="0.3">
      <c r="A109" s="1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2" t="s">
        <v>914</v>
      </c>
      <c r="I109" s="2" t="s">
        <v>12</v>
      </c>
      <c r="J109" s="2" t="s">
        <v>958</v>
      </c>
    </row>
    <row r="110" spans="1:10" x14ac:dyDescent="0.3">
      <c r="A110" s="1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2" t="s">
        <v>983</v>
      </c>
      <c r="I110" s="2"/>
      <c r="J110" s="2" t="s">
        <v>954</v>
      </c>
    </row>
    <row r="111" spans="1:10" x14ac:dyDescent="0.3">
      <c r="A111" s="1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2" t="s">
        <v>983</v>
      </c>
      <c r="I111" s="2"/>
      <c r="J111" s="2" t="s">
        <v>954</v>
      </c>
    </row>
    <row r="112" spans="1:10" x14ac:dyDescent="0.3">
      <c r="A112" s="1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2" t="s">
        <v>984</v>
      </c>
      <c r="I112" s="2" t="s">
        <v>12</v>
      </c>
      <c r="J112" s="2" t="s">
        <v>945</v>
      </c>
    </row>
    <row r="113" spans="1:10" x14ac:dyDescent="0.3">
      <c r="A113" s="1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2" t="s">
        <v>984</v>
      </c>
      <c r="I113" s="2" t="s">
        <v>12</v>
      </c>
      <c r="J113" s="2" t="s">
        <v>945</v>
      </c>
    </row>
    <row r="114" spans="1:10" x14ac:dyDescent="0.3">
      <c r="A114" s="1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2" t="s">
        <v>985</v>
      </c>
      <c r="I114" s="2" t="s">
        <v>956</v>
      </c>
      <c r="J114" s="2" t="s">
        <v>916</v>
      </c>
    </row>
    <row r="115" spans="1:10" x14ac:dyDescent="0.3">
      <c r="A115" s="1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2" t="s">
        <v>985</v>
      </c>
      <c r="I115" s="2" t="s">
        <v>956</v>
      </c>
      <c r="J115" s="2" t="s">
        <v>916</v>
      </c>
    </row>
    <row r="116" spans="1:10" x14ac:dyDescent="0.3">
      <c r="A116" s="1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2" t="s">
        <v>986</v>
      </c>
      <c r="I116" s="2" t="s">
        <v>910</v>
      </c>
      <c r="J116" s="2" t="s">
        <v>921</v>
      </c>
    </row>
    <row r="117" spans="1:10" x14ac:dyDescent="0.3">
      <c r="A117" s="1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2" t="s">
        <v>986</v>
      </c>
      <c r="I117" s="2" t="s">
        <v>910</v>
      </c>
      <c r="J117" s="2" t="s">
        <v>921</v>
      </c>
    </row>
    <row r="118" spans="1:10" x14ac:dyDescent="0.3">
      <c r="A118" s="1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2" t="s">
        <v>987</v>
      </c>
      <c r="I118" s="2" t="s">
        <v>988</v>
      </c>
      <c r="J118" s="2" t="s">
        <v>913</v>
      </c>
    </row>
    <row r="119" spans="1:10" x14ac:dyDescent="0.3">
      <c r="A119" s="1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2" t="s">
        <v>987</v>
      </c>
      <c r="I119" s="2" t="s">
        <v>988</v>
      </c>
      <c r="J119" s="2" t="s">
        <v>913</v>
      </c>
    </row>
    <row r="120" spans="1:10" x14ac:dyDescent="0.3">
      <c r="A120" s="1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2" t="s">
        <v>980</v>
      </c>
      <c r="I120" s="2" t="s">
        <v>920</v>
      </c>
      <c r="J120" s="2" t="s">
        <v>940</v>
      </c>
    </row>
    <row r="121" spans="1:10" x14ac:dyDescent="0.3">
      <c r="A121" s="1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2" t="s">
        <v>980</v>
      </c>
      <c r="I121" s="2" t="s">
        <v>920</v>
      </c>
      <c r="J121" s="2" t="s">
        <v>940</v>
      </c>
    </row>
    <row r="122" spans="1:10" x14ac:dyDescent="0.3">
      <c r="A122" s="1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2" t="s">
        <v>989</v>
      </c>
      <c r="I122" s="2" t="s">
        <v>12</v>
      </c>
      <c r="J122" s="2" t="s">
        <v>916</v>
      </c>
    </row>
    <row r="123" spans="1:10" x14ac:dyDescent="0.3">
      <c r="A123" s="1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2" t="s">
        <v>989</v>
      </c>
      <c r="I123" s="2" t="s">
        <v>12</v>
      </c>
      <c r="J123" s="2" t="s">
        <v>916</v>
      </c>
    </row>
    <row r="124" spans="1:10" x14ac:dyDescent="0.3">
      <c r="A124" s="1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2" t="s">
        <v>990</v>
      </c>
      <c r="I124" s="2" t="s">
        <v>911</v>
      </c>
      <c r="J124" s="2" t="s">
        <v>956</v>
      </c>
    </row>
    <row r="125" spans="1:10" x14ac:dyDescent="0.3">
      <c r="A125" s="1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2" t="s">
        <v>990</v>
      </c>
      <c r="I125" s="2" t="s">
        <v>911</v>
      </c>
      <c r="J125" s="2" t="s">
        <v>956</v>
      </c>
    </row>
    <row r="126" spans="1:10" x14ac:dyDescent="0.3">
      <c r="A126" s="1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2" t="s">
        <v>984</v>
      </c>
      <c r="I126" s="2" t="s">
        <v>916</v>
      </c>
      <c r="J126" s="2" t="s">
        <v>991</v>
      </c>
    </row>
    <row r="127" spans="1:10" x14ac:dyDescent="0.3">
      <c r="A127" s="1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2" t="s">
        <v>984</v>
      </c>
      <c r="I127" s="2" t="s">
        <v>916</v>
      </c>
      <c r="J127" s="2" t="s">
        <v>991</v>
      </c>
    </row>
    <row r="128" spans="1:10" x14ac:dyDescent="0.3">
      <c r="A128" s="1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2" t="s">
        <v>992</v>
      </c>
      <c r="I128" s="2" t="s">
        <v>923</v>
      </c>
      <c r="J128" s="2" t="s">
        <v>940</v>
      </c>
    </row>
    <row r="129" spans="1:10" x14ac:dyDescent="0.3">
      <c r="A129" s="1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2" t="s">
        <v>992</v>
      </c>
      <c r="I129" s="2" t="s">
        <v>923</v>
      </c>
      <c r="J129" s="2" t="s">
        <v>940</v>
      </c>
    </row>
    <row r="130" spans="1:10" x14ac:dyDescent="0.3">
      <c r="A130" s="1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2" t="s">
        <v>970</v>
      </c>
      <c r="I130" s="2" t="s">
        <v>12</v>
      </c>
      <c r="J130" s="2" t="s">
        <v>926</v>
      </c>
    </row>
    <row r="131" spans="1:10" x14ac:dyDescent="0.3">
      <c r="A131" s="1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2" t="s">
        <v>970</v>
      </c>
      <c r="I131" s="2" t="s">
        <v>12</v>
      </c>
      <c r="J131" s="2" t="s">
        <v>926</v>
      </c>
    </row>
    <row r="132" spans="1:10" x14ac:dyDescent="0.3">
      <c r="A132" s="1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2" t="s">
        <v>993</v>
      </c>
      <c r="I132" s="2" t="s">
        <v>12</v>
      </c>
      <c r="J132" s="2" t="s">
        <v>973</v>
      </c>
    </row>
    <row r="133" spans="1:10" x14ac:dyDescent="0.3">
      <c r="A133" s="1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2" t="s">
        <v>993</v>
      </c>
      <c r="I133" s="2" t="s">
        <v>12</v>
      </c>
      <c r="J133" s="2" t="s">
        <v>973</v>
      </c>
    </row>
    <row r="134" spans="1:10" x14ac:dyDescent="0.3">
      <c r="A134" s="1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2" t="s">
        <v>946</v>
      </c>
      <c r="I134" s="2" t="s">
        <v>994</v>
      </c>
      <c r="J134" s="2" t="s">
        <v>926</v>
      </c>
    </row>
    <row r="135" spans="1:10" x14ac:dyDescent="0.3">
      <c r="A135" s="1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2" t="s">
        <v>946</v>
      </c>
      <c r="I135" s="2" t="s">
        <v>994</v>
      </c>
      <c r="J135" s="2" t="s">
        <v>926</v>
      </c>
    </row>
    <row r="136" spans="1:10" x14ac:dyDescent="0.3">
      <c r="A136" s="1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2" t="s">
        <v>995</v>
      </c>
      <c r="I136" s="2" t="s">
        <v>996</v>
      </c>
      <c r="J136" s="2" t="s">
        <v>927</v>
      </c>
    </row>
    <row r="137" spans="1:10" x14ac:dyDescent="0.3">
      <c r="A137" s="1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2" t="s">
        <v>995</v>
      </c>
      <c r="I137" s="2" t="s">
        <v>996</v>
      </c>
      <c r="J137" s="2" t="s">
        <v>927</v>
      </c>
    </row>
    <row r="138" spans="1:10" x14ac:dyDescent="0.3">
      <c r="A138" s="1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2" t="s">
        <v>983</v>
      </c>
      <c r="I138" s="2" t="s">
        <v>934</v>
      </c>
      <c r="J138" s="2" t="s">
        <v>940</v>
      </c>
    </row>
    <row r="139" spans="1:10" x14ac:dyDescent="0.3">
      <c r="A139" s="1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2" t="s">
        <v>983</v>
      </c>
      <c r="I139" s="2" t="s">
        <v>934</v>
      </c>
      <c r="J139" s="2" t="s">
        <v>940</v>
      </c>
    </row>
    <row r="140" spans="1:10" x14ac:dyDescent="0.3">
      <c r="A140" s="1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2" t="s">
        <v>931</v>
      </c>
      <c r="I140" s="2" t="s">
        <v>997</v>
      </c>
      <c r="J140" s="2" t="s">
        <v>940</v>
      </c>
    </row>
    <row r="141" spans="1:10" x14ac:dyDescent="0.3">
      <c r="A141" s="1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2" t="s">
        <v>931</v>
      </c>
      <c r="I141" s="2" t="s">
        <v>997</v>
      </c>
      <c r="J141" s="2" t="s">
        <v>940</v>
      </c>
    </row>
    <row r="142" spans="1:10" x14ac:dyDescent="0.3">
      <c r="A142" s="1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2" t="s">
        <v>963</v>
      </c>
      <c r="I142" s="2" t="s">
        <v>998</v>
      </c>
      <c r="J142" s="2" t="s">
        <v>940</v>
      </c>
    </row>
    <row r="143" spans="1:10" x14ac:dyDescent="0.3">
      <c r="A143" s="1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2" t="s">
        <v>963</v>
      </c>
      <c r="I143" s="2" t="s">
        <v>998</v>
      </c>
      <c r="J143" s="2" t="s">
        <v>940</v>
      </c>
    </row>
    <row r="144" spans="1:10" x14ac:dyDescent="0.3">
      <c r="A144" s="1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2" t="s">
        <v>999</v>
      </c>
      <c r="I144" s="2" t="s">
        <v>1000</v>
      </c>
      <c r="J144" s="2" t="s">
        <v>935</v>
      </c>
    </row>
    <row r="145" spans="1:10" x14ac:dyDescent="0.3">
      <c r="A145" s="1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2" t="s">
        <v>999</v>
      </c>
      <c r="I145" s="2" t="s">
        <v>1000</v>
      </c>
      <c r="J145" s="2" t="s">
        <v>935</v>
      </c>
    </row>
    <row r="146" spans="1:10" x14ac:dyDescent="0.3">
      <c r="A146" s="1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2" t="s">
        <v>981</v>
      </c>
      <c r="I146" s="2" t="s">
        <v>12</v>
      </c>
      <c r="J146" s="2" t="s">
        <v>940</v>
      </c>
    </row>
    <row r="147" spans="1:10" x14ac:dyDescent="0.3">
      <c r="A147" s="1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2" t="s">
        <v>981</v>
      </c>
      <c r="I147" s="2" t="s">
        <v>12</v>
      </c>
      <c r="J147" s="2" t="s">
        <v>940</v>
      </c>
    </row>
    <row r="148" spans="1:10" x14ac:dyDescent="0.3">
      <c r="A148" s="1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2" t="s">
        <v>977</v>
      </c>
      <c r="I148" s="2" t="s">
        <v>12</v>
      </c>
      <c r="J148" s="2" t="s">
        <v>911</v>
      </c>
    </row>
    <row r="149" spans="1:10" x14ac:dyDescent="0.3">
      <c r="A149" s="1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2" t="s">
        <v>977</v>
      </c>
      <c r="I149" s="2" t="s">
        <v>12</v>
      </c>
      <c r="J149" s="2" t="s">
        <v>911</v>
      </c>
    </row>
    <row r="150" spans="1:10" x14ac:dyDescent="0.3">
      <c r="A150" s="1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2" t="s">
        <v>931</v>
      </c>
      <c r="I150" s="2" t="s">
        <v>921</v>
      </c>
      <c r="J150" s="2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971D-2D3B-4897-96D0-318FB18E99F3}">
  <sheetPr codeName="Sheet4"/>
  <dimension ref="A1:G150"/>
  <sheetViews>
    <sheetView workbookViewId="0">
      <selection sqref="A1:G150"/>
    </sheetView>
  </sheetViews>
  <sheetFormatPr defaultRowHeight="14.4" x14ac:dyDescent="0.3"/>
  <cols>
    <col min="1" max="1" width="32.33203125" bestFit="1" customWidth="1"/>
    <col min="2" max="2" width="18.21875" customWidth="1"/>
    <col min="3" max="3" width="17.33203125" customWidth="1"/>
    <col min="4" max="4" width="15.88671875" customWidth="1"/>
    <col min="5" max="5" width="12.88671875" customWidth="1"/>
    <col min="6" max="6" width="12.109375" customWidth="1"/>
    <col min="7" max="7" width="12.21875" customWidth="1"/>
  </cols>
  <sheetData>
    <row r="1" spans="1:7" ht="72" x14ac:dyDescent="0.3">
      <c r="A1" s="7" t="s">
        <v>0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TIMEVALUE(VLOOKUP(A2,E_Data,2,0))</f>
        <v>0.34424768518518517</v>
      </c>
      <c r="D2" s="11">
        <f t="shared" ref="D2:D33" si="1">TIMEVALUE(VLOOKUP(A2,E_Data,3,0))</f>
        <v>0.20693287037037036</v>
      </c>
      <c r="E2" s="11">
        <f t="shared" ref="E2:E33" si="2">TIMEVALUE(VLOOKUP(A2,B_Data,9,0))</f>
        <v>4.7708333333333332E-2</v>
      </c>
      <c r="F2">
        <f t="shared" ref="F2:F33" si="3">(VLOOKUP(A2,O_Data,2,0))</f>
        <v>98</v>
      </c>
      <c r="G2" s="12">
        <f t="shared" ref="G2:G33" si="4">(VLOOKUP(A2,E_Data,6,0))</f>
        <v>0.55697138822580095</v>
      </c>
    </row>
    <row r="3" spans="1:7" x14ac:dyDescent="0.3">
      <c r="A3" t="str">
        <f>Break!A3</f>
        <v>Mum_Afzal Husain (1008513)</v>
      </c>
      <c r="B3" t="str">
        <f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ref="B4:B67" si="5">MID(A4,FIND("_",A4,1)+1,FIND("(",A4,1)-FIND("_",A4,1)-2)</f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1">
        <f t="shared" ref="C34:C65" si="6">TIMEVALUE(VLOOKUP(A34,E_Data,2,0))</f>
        <v>0.34664351851851855</v>
      </c>
      <c r="D34" s="11">
        <f t="shared" ref="D34:D65" si="7">TIMEVALUE(VLOOKUP(A34,E_Data,3,0))</f>
        <v>0.20781250000000001</v>
      </c>
      <c r="E34" s="11">
        <f t="shared" ref="E34:E65" si="8">TIMEVALUE(VLOOKUP(A34,B_Data,9,0))</f>
        <v>4.7951388888888891E-2</v>
      </c>
      <c r="F34">
        <f t="shared" ref="F34:F65" si="9">(VLOOKUP(A34,O_Data,2,0))</f>
        <v>65</v>
      </c>
      <c r="G34" s="12">
        <f t="shared" ref="G34:G65" si="10">(VLOOKUP(A34,E_Data,6,0))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1">
        <f t="shared" ref="C66:C97" si="11">TIMEVALUE(VLOOKUP(A66,E_Data,2,0))</f>
        <v>0.20910879629629631</v>
      </c>
      <c r="D66" s="11">
        <f t="shared" ref="D66:D97" si="12">TIMEVALUE(VLOOKUP(A66,E_Data,3,0))</f>
        <v>0.13449074074074074</v>
      </c>
      <c r="E66" s="11">
        <f t="shared" ref="E66:E97" si="13">TIMEVALUE(VLOOKUP(A66,B_Data,9,0))</f>
        <v>2.0532407407407409E-2</v>
      </c>
      <c r="F66">
        <f t="shared" ref="F66:F97" si="14">(VLOOKUP(A66,O_Data,2,0))</f>
        <v>33</v>
      </c>
      <c r="G66" s="12">
        <f t="shared" ref="G66:G97" si="15">(VLOOKUP(A66,E_Data,6,0))</f>
        <v>0.61244257486024201</v>
      </c>
    </row>
    <row r="67" spans="1:7" x14ac:dyDescent="0.3">
      <c r="A67" t="str">
        <f>Break!A67</f>
        <v>Hyd_Nandu Kumar (1008577)</v>
      </c>
      <c r="B67" t="str">
        <f t="shared" si="5"/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ref="B68:B131" si="16">MID(A68,FIND("_",A68,1)+1,FIND("(",A68,1)-FIND("_",A68,1)-2)</f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1">
        <f t="shared" ref="C98:C129" si="17">TIMEVALUE(VLOOKUP(A98,E_Data,2,0))</f>
        <v>0.33483796296296298</v>
      </c>
      <c r="D98" s="11">
        <f t="shared" ref="D98:D129" si="18">TIMEVALUE(VLOOKUP(A98,E_Data,3,0))</f>
        <v>6.6759259259259254E-2</v>
      </c>
      <c r="E98" s="11">
        <f t="shared" ref="E98:E129" si="19">TIMEVALUE(VLOOKUP(A98,B_Data,9,0))</f>
        <v>0.23973379629629629</v>
      </c>
      <c r="F98">
        <f t="shared" ref="F98:F129" si="20">(VLOOKUP(A98,O_Data,2,0))</f>
        <v>55</v>
      </c>
      <c r="G98" s="12">
        <f t="shared" ref="G98:G129" si="21">(VLOOKUP(A98,E_Data,6,0))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1">
        <f t="shared" ref="C130:C150" si="22">TIMEVALUE(VLOOKUP(A130,E_Data,2,0))</f>
        <v>0.34416666666666668</v>
      </c>
      <c r="D130" s="11">
        <f t="shared" ref="D130:D150" si="23">TIMEVALUE(VLOOKUP(A130,E_Data,3,0))</f>
        <v>0.12054398148148149</v>
      </c>
      <c r="E130" s="11">
        <f t="shared" ref="E130:E150" si="24">TIMEVALUE(VLOOKUP(A130,B_Data,9,0))</f>
        <v>0.19140046296296295</v>
      </c>
      <c r="F130">
        <f t="shared" ref="F130:F150" si="25">(VLOOKUP(A130,O_Data,2,0))</f>
        <v>87</v>
      </c>
      <c r="G130" s="12">
        <f t="shared" ref="G130:G150" si="26">(VLOOKUP(A130,E_Data,6,0))</f>
        <v>0.326035781544256</v>
      </c>
    </row>
    <row r="131" spans="1:7" x14ac:dyDescent="0.3">
      <c r="A131" t="str">
        <f>Break!A131</f>
        <v>Del_Sneh Khan (1008641)</v>
      </c>
      <c r="B131" t="str">
        <f t="shared" si="16"/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ref="B132:B150" si="27">MID(A132,FIND("_",A132,1)+1,FIND("(",A132,1)-FIND("_",A132,1)-2)</f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771D-0BEF-485A-826B-32BDE73C599F}">
  <sheetPr codeName="Sheet5"/>
  <dimension ref="A1:K10"/>
  <sheetViews>
    <sheetView showGridLines="0" showRowColHeaders="0" tabSelected="1" zoomScale="90" workbookViewId="0">
      <selection activeCell="E30" sqref="E30"/>
    </sheetView>
  </sheetViews>
  <sheetFormatPr defaultRowHeight="14.4" x14ac:dyDescent="0.3"/>
  <cols>
    <col min="1" max="1" width="13.21875" bestFit="1" customWidth="1"/>
    <col min="2" max="2" width="47.6640625" customWidth="1"/>
    <col min="3" max="3" width="1.88671875" style="22" customWidth="1"/>
    <col min="4" max="4" width="12.6640625" customWidth="1"/>
    <col min="5" max="5" width="47.6640625" customWidth="1"/>
    <col min="6" max="6" width="1.6640625" customWidth="1"/>
    <col min="7" max="7" width="13.33203125" customWidth="1"/>
    <col min="8" max="8" width="47.77734375" customWidth="1"/>
  </cols>
  <sheetData>
    <row r="1" spans="1:11" s="17" customFormat="1" x14ac:dyDescent="0.3">
      <c r="A1" s="16"/>
      <c r="B1" s="16"/>
      <c r="C1" s="20"/>
      <c r="D1" s="16"/>
      <c r="E1" s="16"/>
      <c r="G1" s="16"/>
      <c r="H1" s="16"/>
    </row>
    <row r="2" spans="1:11" s="17" customFormat="1" ht="21" customHeight="1" x14ac:dyDescent="0.3">
      <c r="A2" s="16"/>
      <c r="B2" s="16"/>
      <c r="C2" s="21">
        <v>5</v>
      </c>
      <c r="D2" s="16"/>
      <c r="E2" s="16"/>
      <c r="G2" s="16"/>
      <c r="H2" s="16"/>
      <c r="I2" s="21">
        <v>5</v>
      </c>
      <c r="K2" s="21">
        <v>5</v>
      </c>
    </row>
    <row r="3" spans="1:11" ht="35.4" customHeight="1" x14ac:dyDescent="0.3">
      <c r="A3" s="14" t="s">
        <v>1010</v>
      </c>
      <c r="B3" s="15"/>
      <c r="D3" s="14" t="s">
        <v>1014</v>
      </c>
      <c r="E3" s="15"/>
      <c r="G3" s="14" t="s">
        <v>1016</v>
      </c>
      <c r="H3" s="15"/>
    </row>
    <row r="4" spans="1:11" x14ac:dyDescent="0.3">
      <c r="A4" s="13" t="s">
        <v>1003</v>
      </c>
      <c r="B4" t="s">
        <v>1009</v>
      </c>
      <c r="D4" s="13" t="s">
        <v>1003</v>
      </c>
      <c r="E4" t="s">
        <v>1013</v>
      </c>
      <c r="G4" s="13" t="s">
        <v>1003</v>
      </c>
      <c r="H4" t="s">
        <v>1015</v>
      </c>
    </row>
    <row r="5" spans="1:11" x14ac:dyDescent="0.3">
      <c r="A5" s="18" t="s">
        <v>1004</v>
      </c>
      <c r="B5" s="19">
        <v>1.3668402777777779</v>
      </c>
      <c r="D5" s="18" t="s">
        <v>1004</v>
      </c>
      <c r="E5" s="25">
        <v>2.0905948641136138</v>
      </c>
      <c r="G5" s="18" t="s">
        <v>1004</v>
      </c>
      <c r="H5" s="24">
        <v>322</v>
      </c>
    </row>
    <row r="6" spans="1:11" x14ac:dyDescent="0.3">
      <c r="A6" s="18" t="s">
        <v>1005</v>
      </c>
      <c r="B6" s="19">
        <v>0.66396990740740747</v>
      </c>
      <c r="D6" s="18" t="s">
        <v>1005</v>
      </c>
      <c r="E6" s="25">
        <v>1.064298009533315</v>
      </c>
      <c r="G6" s="18" t="s">
        <v>1007</v>
      </c>
      <c r="H6" s="24">
        <v>222</v>
      </c>
    </row>
    <row r="7" spans="1:11" x14ac:dyDescent="0.3">
      <c r="A7" s="18" t="s">
        <v>1006</v>
      </c>
      <c r="B7" s="19">
        <v>0.67937500000000006</v>
      </c>
      <c r="D7" s="18" t="s">
        <v>1006</v>
      </c>
      <c r="E7" s="25">
        <v>1.122824596941316</v>
      </c>
      <c r="G7" s="18" t="s">
        <v>1008</v>
      </c>
      <c r="H7" s="24">
        <v>185</v>
      </c>
    </row>
    <row r="8" spans="1:11" x14ac:dyDescent="0.3">
      <c r="A8" s="18" t="s">
        <v>1007</v>
      </c>
      <c r="B8" s="19">
        <v>1.0142939814814815</v>
      </c>
      <c r="D8" s="18" t="s">
        <v>1007</v>
      </c>
      <c r="E8" s="25">
        <v>1.7236731368386569</v>
      </c>
      <c r="G8" s="18" t="s">
        <v>1011</v>
      </c>
      <c r="H8" s="24">
        <v>106</v>
      </c>
    </row>
    <row r="9" spans="1:11" s="23" customFormat="1" x14ac:dyDescent="0.3">
      <c r="A9" s="18" t="s">
        <v>1008</v>
      </c>
      <c r="B9" s="19">
        <v>0.67259259259259263</v>
      </c>
      <c r="C9" s="22"/>
      <c r="D9" s="18" t="s">
        <v>1008</v>
      </c>
      <c r="E9" s="25">
        <v>0.80510133036211395</v>
      </c>
      <c r="G9" s="18" t="s">
        <v>1012</v>
      </c>
      <c r="H9" s="24">
        <v>107</v>
      </c>
    </row>
    <row r="10" spans="1:11" s="23" customFormat="1" x14ac:dyDescent="0.3">
      <c r="A10"/>
      <c r="B10"/>
      <c r="C10" s="22"/>
      <c r="D10"/>
      <c r="E10"/>
      <c r="G10"/>
      <c r="H10"/>
    </row>
  </sheetData>
  <mergeCells count="3">
    <mergeCell ref="A3:B3"/>
    <mergeCell ref="D3:E3"/>
    <mergeCell ref="G3:H3"/>
  </mergeCell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Spinner 1">
              <controlPr defaultSize="0" autoPict="0" macro="[0]!Spinner1_code">
                <anchor moveWithCells="1" sizeWithCells="1">
                  <from>
                    <xdr:col>1</xdr:col>
                    <xdr:colOff>1066800</xdr:colOff>
                    <xdr:row>0</xdr:row>
                    <xdr:rowOff>30480</xdr:rowOff>
                  </from>
                  <to>
                    <xdr:col>1</xdr:col>
                    <xdr:colOff>1363980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Spinner 2">
              <controlPr defaultSize="0" autoPict="0" macro="[0]!Spinner1_code">
                <anchor moveWithCells="1" sizeWithCells="1">
                  <from>
                    <xdr:col>1</xdr:col>
                    <xdr:colOff>2842260</xdr:colOff>
                    <xdr:row>10</xdr:row>
                    <xdr:rowOff>15240</xdr:rowOff>
                  </from>
                  <to>
                    <xdr:col>1</xdr:col>
                    <xdr:colOff>3139440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Spinner 4">
              <controlPr defaultSize="0" autoPict="0" macro="[0]!Spinner2_code">
                <anchor moveWithCells="1" sizeWithCells="1">
                  <from>
                    <xdr:col>4</xdr:col>
                    <xdr:colOff>1112520</xdr:colOff>
                    <xdr:row>0</xdr:row>
                    <xdr:rowOff>53340</xdr:rowOff>
                  </from>
                  <to>
                    <xdr:col>4</xdr:col>
                    <xdr:colOff>1363980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Spinner 8">
              <controlPr defaultSize="0" autoPict="0" macro="[0]!Spinner2_code">
                <anchor moveWithCells="1" sizeWithCells="1">
                  <from>
                    <xdr:col>4</xdr:col>
                    <xdr:colOff>3017520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Spinner 10">
              <controlPr defaultSize="0" autoPict="0" macro="[0]!Spinner_code3">
                <anchor moveWithCells="1" sizeWithCells="1">
                  <from>
                    <xdr:col>7</xdr:col>
                    <xdr:colOff>1112520</xdr:colOff>
                    <xdr:row>0</xdr:row>
                    <xdr:rowOff>53340</xdr:rowOff>
                  </from>
                  <to>
                    <xdr:col>7</xdr:col>
                    <xdr:colOff>1363980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Spinner 12">
              <controlPr defaultSize="0" autoPict="0" macro="[0]!Spinner_code3">
                <anchor moveWithCells="1" sizeWithCells="1">
                  <from>
                    <xdr:col>7</xdr:col>
                    <xdr:colOff>3032760</xdr:colOff>
                    <xdr:row>10</xdr:row>
                    <xdr:rowOff>30480</xdr:rowOff>
                  </from>
                  <to>
                    <xdr:col>8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Effiency</vt:lpstr>
      <vt:lpstr>OverAll Performance</vt:lpstr>
      <vt:lpstr>Summary</vt:lpstr>
      <vt:lpstr>Dashboard</vt:lpstr>
      <vt:lpstr>B_Data</vt:lpstr>
      <vt:lpstr>E_Data</vt:lpstr>
      <vt:lpstr>O_Data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Piyush Vinde</dc:creator>
  <cp:lastModifiedBy>Piyush Vinde</cp:lastModifiedBy>
  <dcterms:created xsi:type="dcterms:W3CDTF">2025-03-08T12:52:41Z</dcterms:created>
  <dcterms:modified xsi:type="dcterms:W3CDTF">2025-03-11T18:14:35Z</dcterms:modified>
</cp:coreProperties>
</file>